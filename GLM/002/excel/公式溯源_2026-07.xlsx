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公式溯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2"/>
    </font>
    <font>
      <name val="Carlito"/>
      <sz val="11"/>
    </font>
    <font>
      <name val="微软雅黑"/>
      <i val="1"/>
      <color rgb="00C00000"/>
      <sz val="9"/>
    </font>
    <font>
      <name val="微软雅黑"/>
      <b val="1"/>
      <color rgb="00FFFFFF"/>
      <sz val="10"/>
    </font>
    <font>
      <name val="微软雅黑"/>
      <b val="1"/>
      <color rgb="001F3864"/>
      <sz val="10"/>
    </font>
    <font>
      <name val="微软雅黑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305496"/>
      </patternFill>
    </fill>
    <fill>
      <patternFill patternType="solid">
        <fgColor rgb="00D9E1F2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4" fontId="6" fillId="0" borderId="1" applyAlignment="1" pivotButton="0" quotePrefix="0" xfId="0">
      <alignment horizontal="right" vertical="center"/>
    </xf>
    <xf numFmtId="10" fontId="6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26" customWidth="1" min="3" max="3"/>
    <col width="34" customWidth="1" min="4" max="4"/>
    <col width="46" customWidth="1" min="5" max="5"/>
    <col width="40" customWidth="1" min="6" max="6"/>
  </cols>
  <sheetData>
    <row r="1" ht="26" customHeight="1">
      <c r="A1" s="1" t="inlineStr">
        <is>
          <t>2026年7月报表 — 汇总数字来源与计算公式溯源表</t>
        </is>
      </c>
      <c r="B1" s="2" t="n"/>
      <c r="C1" s="2" t="n"/>
      <c r="D1" s="2" t="n"/>
      <c r="E1" s="2" t="n"/>
      <c r="F1" s="3" t="n"/>
    </row>
    <row r="2" ht="28" customHeight="1">
      <c r="A2" s="4" t="inlineStr">
        <is>
          <t>说明：所有金额单位为人民币元，保留两位小数；“数值”列为本 Agent 按“计算公式”独立复算结果，与原模板公式口径一致。</t>
        </is>
      </c>
      <c r="B2" s="2" t="n"/>
      <c r="C2" s="2" t="n"/>
      <c r="D2" s="2" t="n"/>
      <c r="E2" s="2" t="n"/>
      <c r="F2" s="3" t="n"/>
    </row>
    <row r="3">
      <c r="A3" s="5" t="inlineStr">
        <is>
          <t>汇总项</t>
        </is>
      </c>
      <c r="B3" s="5" t="inlineStr">
        <is>
          <t>数值(元)</t>
        </is>
      </c>
      <c r="C3" s="5" t="inlineStr">
        <is>
          <t>来源工作表</t>
        </is>
      </c>
      <c r="D3" s="5" t="inlineStr">
        <is>
          <t>来源字段/单元格</t>
        </is>
      </c>
      <c r="E3" s="5" t="inlineStr">
        <is>
          <t>计算公式</t>
        </is>
      </c>
      <c r="F3" s="5" t="inlineStr">
        <is>
          <t>备注</t>
        </is>
      </c>
    </row>
    <row r="4">
      <c r="A4" s="6" t="inlineStr">
        <is>
          <t>【本月收入】</t>
        </is>
      </c>
      <c r="B4" s="2" t="n"/>
      <c r="C4" s="2" t="n"/>
      <c r="D4" s="2" t="n"/>
      <c r="E4" s="2" t="n"/>
      <c r="F4" s="3" t="n"/>
    </row>
    <row r="5">
      <c r="A5" s="7" t="inlineStr">
        <is>
          <t>本月收入合计(含税)</t>
        </is>
      </c>
      <c r="B5" s="8" t="n">
        <v>555000</v>
      </c>
      <c r="C5" s="7" t="inlineStr">
        <is>
          <t>财务流水</t>
        </is>
      </c>
      <c r="D5" s="7" t="inlineStr">
        <is>
          <t>列L金额(含税)；列C业务类型=收入；列B月份=2026-07</t>
        </is>
      </c>
      <c r="E5" s="7">
        <f>SUMIFS(财务流水!L:L, 月份,"2026-07", 业务类型,"收入")</f>
        <v/>
      </c>
      <c r="F5" s="7" t="inlineStr">
        <is>
          <t>r18 充电服务收入335000 + r22 项目服务收入220000</t>
        </is>
      </c>
    </row>
    <row r="6">
      <c r="A6" s="7" t="inlineStr">
        <is>
          <t xml:space="preserve">  — 充电服务收入(金坛体育馆站)</t>
        </is>
      </c>
      <c r="B6" s="8" t="n">
        <v>335000</v>
      </c>
      <c r="C6" s="7" t="inlineStr">
        <is>
          <t>财务流水!L18</t>
        </is>
      </c>
      <c r="D6" s="7" t="inlineStr">
        <is>
          <t>金额(含税)=335000</t>
        </is>
      </c>
      <c r="E6" s="7" t="inlineStr">
        <is>
          <t>逐笔取值(运营部/金坛体育馆站)</t>
        </is>
      </c>
      <c r="F6" s="7" t="inlineStr">
        <is>
          <t>已开票/已收款</t>
        </is>
      </c>
    </row>
    <row r="7">
      <c r="A7" s="7" t="inlineStr">
        <is>
          <t xml:space="preserve">  — 项目服务收入(数据平台项目)</t>
        </is>
      </c>
      <c r="B7" s="8" t="n">
        <v>220000</v>
      </c>
      <c r="C7" s="7" t="inlineStr">
        <is>
          <t>财务流水!L22</t>
        </is>
      </c>
      <c r="D7" s="7" t="inlineStr">
        <is>
          <t>金额(含税)=220000</t>
        </is>
      </c>
      <c r="E7" s="7" t="inlineStr">
        <is>
          <t>逐笔取值(项目部/数据平台项目)</t>
        </is>
      </c>
      <c r="F7" s="7" t="inlineStr">
        <is>
          <t>待财务复核：未开票/未收款，未形成现金流入</t>
        </is>
      </c>
    </row>
    <row r="8">
      <c r="A8" s="6" t="inlineStr">
        <is>
          <t>【本月支出】</t>
        </is>
      </c>
      <c r="B8" s="2" t="n"/>
      <c r="C8" s="2" t="n"/>
      <c r="D8" s="2" t="n"/>
      <c r="E8" s="2" t="n"/>
      <c r="F8" s="3" t="n"/>
    </row>
    <row r="9">
      <c r="A9" s="7" t="inlineStr">
        <is>
          <t>本月支出合计(含税)</t>
        </is>
      </c>
      <c r="B9" s="8" t="n">
        <v>168000</v>
      </c>
      <c r="C9" s="7" t="inlineStr">
        <is>
          <t>财务流水</t>
        </is>
      </c>
      <c r="D9" s="7" t="inlineStr">
        <is>
          <t>列L金额(含税)；列C业务类型=支出；列B月份=2026-07</t>
        </is>
      </c>
      <c r="E9" s="7">
        <f>SUMIFS(财务流水!L:L, 月份,"2026-07", 业务类型,"支出")</f>
        <v/>
      </c>
      <c r="F9" s="7" t="inlineStr">
        <is>
          <t>r19 电费108000 + r20 软件服务费42000 + r21 市场推广费18000</t>
        </is>
      </c>
    </row>
    <row r="10">
      <c r="A10" s="7" t="inlineStr">
        <is>
          <t xml:space="preserve">  — 电费(运营部/金坛体育馆站)</t>
        </is>
      </c>
      <c r="B10" s="8" t="n">
        <v>108000</v>
      </c>
      <c r="C10" s="7" t="inlineStr">
        <is>
          <t>财务流水!L19</t>
        </is>
      </c>
      <c r="D10" s="7" t="inlineStr">
        <is>
          <t>金额(含税)=108000</t>
        </is>
      </c>
      <c r="E10" s="7" t="inlineStr">
        <is>
          <t>逐笔取值</t>
        </is>
      </c>
      <c r="F10" s="7" t="inlineStr">
        <is>
          <t>已收票/已付款</t>
        </is>
      </c>
    </row>
    <row r="11">
      <c r="A11" s="7" t="inlineStr">
        <is>
          <t xml:space="preserve">  — 软件服务费(研发部/AI平台一期)</t>
        </is>
      </c>
      <c r="B11" s="8" t="n">
        <v>42000</v>
      </c>
      <c r="C11" s="7" t="inlineStr">
        <is>
          <t>财务流水!L20</t>
        </is>
      </c>
      <c r="D11" s="7" t="inlineStr">
        <is>
          <t>金额(含税)=42000</t>
        </is>
      </c>
      <c r="E11" s="7" t="inlineStr">
        <is>
          <t>逐笔取值</t>
        </is>
      </c>
      <c r="F11" s="7" t="inlineStr">
        <is>
          <t>已收票/未付款(到期2026-07-31)</t>
        </is>
      </c>
    </row>
    <row r="12">
      <c r="A12" s="7" t="inlineStr">
        <is>
          <t xml:space="preserve">  — 市场推广费(市场部/品牌推广)</t>
        </is>
      </c>
      <c r="B12" s="8" t="n">
        <v>18000</v>
      </c>
      <c r="C12" s="7" t="inlineStr">
        <is>
          <t>财务流水!L21</t>
        </is>
      </c>
      <c r="D12" s="7" t="inlineStr">
        <is>
          <t>金额(含税)=18000</t>
        </is>
      </c>
      <c r="E12" s="7" t="inlineStr">
        <is>
          <t>逐笔取值</t>
        </is>
      </c>
      <c r="F12" s="7" t="inlineStr">
        <is>
          <t>待财务复核：未收票(缺发票)/未付款</t>
        </is>
      </c>
    </row>
    <row r="13">
      <c r="A13" s="6" t="inlineStr">
        <is>
          <t>【净现金流】</t>
        </is>
      </c>
      <c r="B13" s="2" t="n"/>
      <c r="C13" s="2" t="n"/>
      <c r="D13" s="2" t="n"/>
      <c r="E13" s="2" t="n"/>
      <c r="F13" s="3" t="n"/>
    </row>
    <row r="14">
      <c r="A14" s="7" t="inlineStr">
        <is>
          <t>本月净现金流</t>
        </is>
      </c>
      <c r="B14" s="8" t="n">
        <v>387000</v>
      </c>
      <c r="C14" s="7" t="inlineStr">
        <is>
          <t>月度汇总!D11</t>
        </is>
      </c>
      <c r="D14" s="7" t="inlineStr">
        <is>
          <t>本月收入-本月支出</t>
        </is>
      </c>
      <c r="E14" s="7">
        <f>SUMIFS(收入,"2026-07")-SUMIFS(支出,"2026-07") = 555000-168000</f>
        <v/>
      </c>
      <c r="F14" s="7" t="inlineStr">
        <is>
          <t>模板口径为含税全额(权责发生)，含未收款/未付款；非纯现金口径</t>
        </is>
      </c>
    </row>
    <row r="15">
      <c r="A15" s="6" t="inlineStr">
        <is>
          <t>【应收账款】</t>
        </is>
      </c>
      <c r="B15" s="2" t="n"/>
      <c r="C15" s="2" t="n"/>
      <c r="D15" s="2" t="n"/>
      <c r="E15" s="2" t="n"/>
      <c r="F15" s="3" t="n"/>
    </row>
    <row r="16">
      <c r="A16" s="7" t="inlineStr">
        <is>
          <t>应收账款未结合计</t>
        </is>
      </c>
      <c r="B16" s="8" t="n">
        <v>440000</v>
      </c>
      <c r="C16" s="7" t="inlineStr">
        <is>
          <t>应收应付</t>
        </is>
      </c>
      <c r="D16" s="7" t="inlineStr">
        <is>
          <t>列G未结金额；列B类型=应收</t>
        </is>
      </c>
      <c r="E16" s="7">
        <f>SUMIFS(应收应付!G:G, 类型,"应收")</f>
        <v/>
      </c>
      <c r="F16" s="7" t="inlineStr">
        <is>
          <t>AR-26001 未结220000(已逾期19天) + AR-26002 未结220000(未到期)；AR-26003 已结清</t>
        </is>
      </c>
    </row>
    <row r="17">
      <c r="A17" s="7" t="inlineStr">
        <is>
          <t>应付账款未结合计</t>
        </is>
      </c>
      <c r="B17" s="8" t="n">
        <v>106000</v>
      </c>
      <c r="C17" s="7" t="inlineStr">
        <is>
          <t>应收应付</t>
        </is>
      </c>
      <c r="D17" s="7" t="inlineStr">
        <is>
          <t>列G未结金额；列B类型=应付</t>
        </is>
      </c>
      <c r="E17" s="7">
        <f>SUMIFS(应收应付!G:G, 类型,"应付")</f>
        <v/>
      </c>
      <c r="F17" s="7" t="inlineStr">
        <is>
          <t>AP-26001 42000 + AP-26002 18000 + AP-26003 46000(已逾期34天)</t>
        </is>
      </c>
    </row>
    <row r="18">
      <c r="A18" s="7" t="inlineStr">
        <is>
          <t>逾期未结合计(应收+应付)</t>
        </is>
      </c>
      <c r="B18" s="8" t="n">
        <v>266000</v>
      </c>
      <c r="C18" s="7" t="inlineStr">
        <is>
          <t>管理看板!J6</t>
        </is>
      </c>
      <c r="D18" s="7" t="inlineStr">
        <is>
          <t>列G未结金额；列I状态=已逾期</t>
        </is>
      </c>
      <c r="E18" s="7">
        <f>SUMIFS(应收应付!G:G, 状态,"已逾期") = 220000+46000</f>
        <v/>
      </c>
      <c r="F18" s="7" t="inlineStr">
        <is>
          <t>模板口径，AR与AP合并统计</t>
        </is>
      </c>
    </row>
    <row r="19">
      <c r="A19" s="6" t="inlineStr">
        <is>
          <t>【预算执行 — 月度口径】</t>
        </is>
      </c>
      <c r="B19" s="2" t="n"/>
      <c r="C19" s="2" t="n"/>
      <c r="D19" s="2" t="n"/>
      <c r="E19" s="2" t="n"/>
      <c r="F19" s="3" t="n"/>
    </row>
    <row r="20">
      <c r="A20" s="7" t="inlineStr">
        <is>
          <t>本月支出预算(年度/12)</t>
        </is>
      </c>
      <c r="B20" s="8" t="n">
        <v>340000</v>
      </c>
      <c r="C20" s="7" t="inlineStr">
        <is>
          <t>月度汇总!F11←预算执行!C13/12</t>
        </is>
      </c>
      <c r="D20" s="7" t="inlineStr">
        <is>
          <t>年度预算合计4080000 ÷ 12</t>
        </is>
      </c>
      <c r="E20" s="7">
        <f>预算执行!C13/12 = 4080000/12</f>
        <v/>
      </c>
      <c r="F20" s="7" t="inlineStr">
        <is>
          <t>待财务复核：均摊口径，未考虑季节性</t>
        </is>
      </c>
    </row>
    <row r="21">
      <c r="A21" s="7" t="inlineStr">
        <is>
          <t>本月预算差异(预算-实际)</t>
        </is>
      </c>
      <c r="B21" s="8" t="n">
        <v>172000</v>
      </c>
      <c r="C21" s="7" t="inlineStr">
        <is>
          <t>月度汇总!G11</t>
        </is>
      </c>
      <c r="D21" s="7" t="inlineStr">
        <is>
          <t>月度预算-月度实际支出</t>
        </is>
      </c>
      <c r="E21" s="7">
        <f>F11-C11 = 340000-168000</f>
        <v/>
      </c>
      <c r="F21" s="7" t="inlineStr">
        <is>
          <t>有利差异(节约)</t>
        </is>
      </c>
    </row>
    <row r="22">
      <c r="A22" s="7" t="inlineStr">
        <is>
          <t>本月预算执行率</t>
        </is>
      </c>
      <c r="B22" s="9" t="n">
        <v>0.4941</v>
      </c>
      <c r="C22" s="7" t="inlineStr">
        <is>
          <t>月度汇总!H11</t>
        </is>
      </c>
      <c r="D22" s="7" t="inlineStr">
        <is>
          <t>月度实际支出/月度预算</t>
        </is>
      </c>
      <c r="E22" s="7">
        <f>IFERROR(C11/F11,0) = 168000/340000</f>
        <v/>
      </c>
      <c r="F22" s="7" t="inlineStr">
        <is>
          <t>百分比</t>
        </is>
      </c>
    </row>
    <row r="23">
      <c r="A23" s="6" t="inlineStr">
        <is>
          <t>【预算执行 — 年度累计口径(1-7月)】</t>
        </is>
      </c>
      <c r="B23" s="2" t="n"/>
      <c r="C23" s="2" t="n"/>
      <c r="D23" s="2" t="n"/>
      <c r="E23" s="2" t="n"/>
      <c r="F23" s="3" t="n"/>
    </row>
    <row r="24">
      <c r="A24" s="7" t="inlineStr">
        <is>
          <t>累计实际支出合计</t>
        </is>
      </c>
      <c r="B24" s="8" t="n">
        <v>608400</v>
      </c>
      <c r="C24" s="7" t="inlineStr">
        <is>
          <t>预算执行!P13</t>
        </is>
      </c>
      <c r="D24" s="7" t="inlineStr">
        <is>
          <t>列D:O各月实际之和</t>
        </is>
      </c>
      <c r="E24" s="7">
        <f>SUM(预算执行!J5:J12 各月累计) = 1-7月支出合计</f>
        <v/>
      </c>
      <c r="F24" s="7" t="inlineStr">
        <is>
          <t>—</t>
        </is>
      </c>
    </row>
    <row r="25">
      <c r="A25" s="7" t="inlineStr">
        <is>
          <t>年度预算合计</t>
        </is>
      </c>
      <c r="B25" s="8" t="n">
        <v>4080000</v>
      </c>
      <c r="C25" s="7" t="inlineStr">
        <is>
          <t>预算执行!C13</t>
        </is>
      </c>
      <c r="D25" s="7" t="inlineStr">
        <is>
          <t>列C年度预算之和</t>
        </is>
      </c>
      <c r="E25" s="7">
        <f>SUM(预算执行!C5:C12)</f>
        <v/>
      </c>
      <c r="F25" s="7" t="inlineStr">
        <is>
          <t>—</t>
        </is>
      </c>
    </row>
    <row r="26">
      <c r="A26" s="7" t="inlineStr">
        <is>
          <t>累计预算执行率</t>
        </is>
      </c>
      <c r="B26" s="9" t="n">
        <v>0.1491</v>
      </c>
      <c r="C26" s="7" t="inlineStr">
        <is>
          <t>预算执行!R13</t>
        </is>
      </c>
      <c r="D26" s="7" t="inlineStr">
        <is>
          <t>累计实际/年度预算</t>
        </is>
      </c>
      <c r="E26" s="7">
        <f>IFERROR(P13/C13,0) = 608400/4080000</f>
        <v/>
      </c>
      <c r="F26" s="7" t="inlineStr">
        <is>
          <t>远低于58.33%时间进度</t>
        </is>
      </c>
    </row>
    <row r="27">
      <c r="A27" s="7" t="inlineStr">
        <is>
          <t>年度时间进度</t>
        </is>
      </c>
      <c r="B27" s="9" t="n">
        <v>0.5833</v>
      </c>
      <c r="C27" s="7" t="inlineStr">
        <is>
          <t>预算执行!S5:S12</t>
        </is>
      </c>
      <c r="D27" s="7" t="inlineStr">
        <is>
          <t>7/12</t>
        </is>
      </c>
      <c r="E27" s="7">
        <f>7/12</f>
        <v/>
      </c>
      <c r="F27" s="7" t="inlineStr">
        <is>
          <t>—</t>
        </is>
      </c>
    </row>
  </sheetData>
  <mergeCells count="8">
    <mergeCell ref="A2:F2"/>
    <mergeCell ref="A13:F13"/>
    <mergeCell ref="A19:F19"/>
    <mergeCell ref="A1:F1"/>
    <mergeCell ref="A23:F23"/>
    <mergeCell ref="A8:F8"/>
    <mergeCell ref="A4:F4"/>
    <mergeCell ref="A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2026-07-18T16:42:49Z</dcterms:created>
  <dcterms:modified xmlns:dcterms="http://purl.org/dc/terms/" xmlns:xsi="http://www.w3.org/2001/XMLSchema-instance" xsi:type="dcterms:W3CDTF">2026-07-18T16:42:49Z</dcterms:modified>
</cp:coreProperties>
</file>