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z-night-learn-20260713\GLM\002\excel\"/>
    </mc:Choice>
  </mc:AlternateContent>
  <xr:revisionPtr revIDLastSave="0" documentId="13_ncr:1_{C8D0F962-8F09-4861-946F-69A8F9890907}" xr6:coauthVersionLast="47" xr6:coauthVersionMax="47" xr10:uidLastSave="{00000000-0000-0000-0000-000000000000}"/>
  <bookViews>
    <workbookView xWindow="3260" yWindow="3260" windowWidth="28800" windowHeight="15370" activeTab="4" xr2:uid="{00000000-000D-0000-FFFF-FFFF00000000}"/>
  </bookViews>
  <sheets>
    <sheet name="财务流水" sheetId="2" r:id="rId1"/>
    <sheet name="预算执行" sheetId="3" r:id="rId2"/>
    <sheet name="应收应付" sheetId="4" r:id="rId3"/>
    <sheet name="月度汇总" sheetId="5" r:id="rId4"/>
    <sheet name="管理看板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G33" i="6"/>
  <c r="G32" i="6"/>
  <c r="G31" i="6"/>
  <c r="G30" i="6"/>
  <c r="G29" i="6"/>
  <c r="G28" i="6"/>
  <c r="G27" i="6"/>
  <c r="G26" i="6"/>
  <c r="G25" i="6"/>
  <c r="G24" i="6"/>
  <c r="G23" i="6"/>
  <c r="B17" i="6"/>
  <c r="B10" i="6"/>
  <c r="I103" i="4"/>
  <c r="G103" i="4"/>
  <c r="J103" i="4" s="1"/>
  <c r="I102" i="4"/>
  <c r="G102" i="4"/>
  <c r="J102" i="4" s="1"/>
  <c r="J101" i="4"/>
  <c r="I101" i="4"/>
  <c r="G101" i="4"/>
  <c r="I100" i="4"/>
  <c r="G100" i="4"/>
  <c r="J100" i="4" s="1"/>
  <c r="J99" i="4"/>
  <c r="I99" i="4"/>
  <c r="G99" i="4"/>
  <c r="J98" i="4"/>
  <c r="I98" i="4"/>
  <c r="G98" i="4"/>
  <c r="I97" i="4"/>
  <c r="G97" i="4"/>
  <c r="J97" i="4" s="1"/>
  <c r="J96" i="4"/>
  <c r="I96" i="4"/>
  <c r="G96" i="4"/>
  <c r="I95" i="4"/>
  <c r="G95" i="4"/>
  <c r="J95" i="4" s="1"/>
  <c r="I94" i="4"/>
  <c r="G94" i="4"/>
  <c r="J94" i="4" s="1"/>
  <c r="J93" i="4"/>
  <c r="I93" i="4"/>
  <c r="G93" i="4"/>
  <c r="I92" i="4"/>
  <c r="G92" i="4"/>
  <c r="J92" i="4" s="1"/>
  <c r="I91" i="4"/>
  <c r="G91" i="4"/>
  <c r="J91" i="4" s="1"/>
  <c r="I90" i="4"/>
  <c r="G90" i="4"/>
  <c r="J90" i="4" s="1"/>
  <c r="I89" i="4"/>
  <c r="G89" i="4"/>
  <c r="J89" i="4" s="1"/>
  <c r="I88" i="4"/>
  <c r="G88" i="4"/>
  <c r="J88" i="4" s="1"/>
  <c r="J87" i="4"/>
  <c r="I87" i="4"/>
  <c r="G87" i="4"/>
  <c r="I86" i="4"/>
  <c r="G86" i="4"/>
  <c r="J86" i="4" s="1"/>
  <c r="I85" i="4"/>
  <c r="G85" i="4"/>
  <c r="J85" i="4" s="1"/>
  <c r="J84" i="4"/>
  <c r="I84" i="4"/>
  <c r="G84" i="4"/>
  <c r="I83" i="4"/>
  <c r="G83" i="4"/>
  <c r="J83" i="4" s="1"/>
  <c r="I82" i="4"/>
  <c r="G82" i="4"/>
  <c r="J82" i="4" s="1"/>
  <c r="I81" i="4"/>
  <c r="G81" i="4"/>
  <c r="J81" i="4" s="1"/>
  <c r="J80" i="4"/>
  <c r="I80" i="4"/>
  <c r="G80" i="4"/>
  <c r="I79" i="4"/>
  <c r="G79" i="4"/>
  <c r="J79" i="4" s="1"/>
  <c r="I78" i="4"/>
  <c r="G78" i="4"/>
  <c r="J78" i="4" s="1"/>
  <c r="I77" i="4"/>
  <c r="G77" i="4"/>
  <c r="J77" i="4" s="1"/>
  <c r="I76" i="4"/>
  <c r="G76" i="4"/>
  <c r="J76" i="4" s="1"/>
  <c r="J75" i="4"/>
  <c r="I75" i="4"/>
  <c r="G75" i="4"/>
  <c r="I74" i="4"/>
  <c r="G74" i="4"/>
  <c r="J74" i="4" s="1"/>
  <c r="I73" i="4"/>
  <c r="G73" i="4"/>
  <c r="J73" i="4" s="1"/>
  <c r="I72" i="4"/>
  <c r="G72" i="4"/>
  <c r="J72" i="4" s="1"/>
  <c r="J71" i="4"/>
  <c r="I71" i="4"/>
  <c r="G71" i="4"/>
  <c r="J70" i="4"/>
  <c r="I70" i="4"/>
  <c r="G70" i="4"/>
  <c r="J69" i="4"/>
  <c r="I69" i="4"/>
  <c r="G69" i="4"/>
  <c r="J68" i="4"/>
  <c r="I68" i="4"/>
  <c r="G68" i="4"/>
  <c r="I67" i="4"/>
  <c r="G67" i="4"/>
  <c r="J67" i="4" s="1"/>
  <c r="I66" i="4"/>
  <c r="G66" i="4"/>
  <c r="J66" i="4" s="1"/>
  <c r="J65" i="4"/>
  <c r="I65" i="4"/>
  <c r="G65" i="4"/>
  <c r="I64" i="4"/>
  <c r="G64" i="4"/>
  <c r="J64" i="4" s="1"/>
  <c r="I63" i="4"/>
  <c r="G63" i="4"/>
  <c r="J63" i="4" s="1"/>
  <c r="I62" i="4"/>
  <c r="G62" i="4"/>
  <c r="J62" i="4" s="1"/>
  <c r="I61" i="4"/>
  <c r="G61" i="4"/>
  <c r="J61" i="4" s="1"/>
  <c r="I60" i="4"/>
  <c r="G60" i="4"/>
  <c r="J60" i="4" s="1"/>
  <c r="J59" i="4"/>
  <c r="I59" i="4"/>
  <c r="G59" i="4"/>
  <c r="I58" i="4"/>
  <c r="G58" i="4"/>
  <c r="J58" i="4" s="1"/>
  <c r="I57" i="4"/>
  <c r="G57" i="4"/>
  <c r="J57" i="4" s="1"/>
  <c r="J56" i="4"/>
  <c r="I56" i="4"/>
  <c r="G56" i="4"/>
  <c r="I55" i="4"/>
  <c r="G55" i="4"/>
  <c r="J55" i="4" s="1"/>
  <c r="I54" i="4"/>
  <c r="G54" i="4"/>
  <c r="J54" i="4" s="1"/>
  <c r="I53" i="4"/>
  <c r="G53" i="4"/>
  <c r="J53" i="4" s="1"/>
  <c r="J52" i="4"/>
  <c r="I52" i="4"/>
  <c r="G52" i="4"/>
  <c r="I51" i="4"/>
  <c r="G51" i="4"/>
  <c r="J51" i="4" s="1"/>
  <c r="I50" i="4"/>
  <c r="G50" i="4"/>
  <c r="J50" i="4" s="1"/>
  <c r="I49" i="4"/>
  <c r="G49" i="4"/>
  <c r="J49" i="4" s="1"/>
  <c r="I48" i="4"/>
  <c r="G48" i="4"/>
  <c r="J48" i="4" s="1"/>
  <c r="J47" i="4"/>
  <c r="I47" i="4"/>
  <c r="G47" i="4"/>
  <c r="I46" i="4"/>
  <c r="G46" i="4"/>
  <c r="J46" i="4" s="1"/>
  <c r="I45" i="4"/>
  <c r="G45" i="4"/>
  <c r="J45" i="4" s="1"/>
  <c r="I44" i="4"/>
  <c r="G44" i="4"/>
  <c r="J44" i="4" s="1"/>
  <c r="J43" i="4"/>
  <c r="I43" i="4"/>
  <c r="G43" i="4"/>
  <c r="J42" i="4"/>
  <c r="I42" i="4"/>
  <c r="G42" i="4"/>
  <c r="J41" i="4"/>
  <c r="I41" i="4"/>
  <c r="G41" i="4"/>
  <c r="J40" i="4"/>
  <c r="I40" i="4"/>
  <c r="G40" i="4"/>
  <c r="I39" i="4"/>
  <c r="G39" i="4"/>
  <c r="J39" i="4" s="1"/>
  <c r="I38" i="4"/>
  <c r="G38" i="4"/>
  <c r="J38" i="4" s="1"/>
  <c r="J37" i="4"/>
  <c r="I37" i="4"/>
  <c r="G37" i="4"/>
  <c r="I36" i="4"/>
  <c r="G36" i="4"/>
  <c r="J36" i="4" s="1"/>
  <c r="I35" i="4"/>
  <c r="G35" i="4"/>
  <c r="J35" i="4" s="1"/>
  <c r="I34" i="4"/>
  <c r="G34" i="4"/>
  <c r="J34" i="4" s="1"/>
  <c r="I33" i="4"/>
  <c r="G33" i="4"/>
  <c r="J33" i="4" s="1"/>
  <c r="I32" i="4"/>
  <c r="G32" i="4"/>
  <c r="J32" i="4" s="1"/>
  <c r="J31" i="4"/>
  <c r="I31" i="4"/>
  <c r="G31" i="4"/>
  <c r="J30" i="4"/>
  <c r="I30" i="4"/>
  <c r="G30" i="4"/>
  <c r="I29" i="4"/>
  <c r="G29" i="4"/>
  <c r="J29" i="4" s="1"/>
  <c r="J28" i="4"/>
  <c r="I28" i="4"/>
  <c r="G28" i="4"/>
  <c r="I27" i="4"/>
  <c r="G27" i="4"/>
  <c r="J27" i="4" s="1"/>
  <c r="I26" i="4"/>
  <c r="G26" i="4"/>
  <c r="J26" i="4" s="1"/>
  <c r="I25" i="4"/>
  <c r="G25" i="4"/>
  <c r="J25" i="4" s="1"/>
  <c r="J24" i="4"/>
  <c r="I24" i="4"/>
  <c r="G24" i="4"/>
  <c r="I23" i="4"/>
  <c r="G23" i="4"/>
  <c r="J23" i="4" s="1"/>
  <c r="I22" i="4"/>
  <c r="G22" i="4"/>
  <c r="J22" i="4" s="1"/>
  <c r="I21" i="4"/>
  <c r="G21" i="4"/>
  <c r="J21" i="4" s="1"/>
  <c r="I20" i="4"/>
  <c r="G20" i="4"/>
  <c r="J20" i="4" s="1"/>
  <c r="J19" i="4"/>
  <c r="I19" i="4"/>
  <c r="G19" i="4"/>
  <c r="I18" i="4"/>
  <c r="G18" i="4"/>
  <c r="J18" i="4" s="1"/>
  <c r="I17" i="4"/>
  <c r="G17" i="4"/>
  <c r="J17" i="4" s="1"/>
  <c r="I16" i="4"/>
  <c r="G16" i="4"/>
  <c r="J16" i="4" s="1"/>
  <c r="J15" i="4"/>
  <c r="I15" i="4"/>
  <c r="G15" i="4"/>
  <c r="J14" i="4"/>
  <c r="I14" i="4"/>
  <c r="G14" i="4"/>
  <c r="J13" i="4"/>
  <c r="I13" i="4"/>
  <c r="G13" i="4"/>
  <c r="J12" i="4"/>
  <c r="I12" i="4"/>
  <c r="G12" i="4"/>
  <c r="I11" i="4"/>
  <c r="G11" i="4"/>
  <c r="J11" i="4" s="1"/>
  <c r="I10" i="4"/>
  <c r="G10" i="4"/>
  <c r="J10" i="4" s="1"/>
  <c r="J9" i="4"/>
  <c r="G9" i="4"/>
  <c r="I9" i="4" s="1"/>
  <c r="G8" i="4"/>
  <c r="J8" i="4" s="1"/>
  <c r="G7" i="4"/>
  <c r="I7" i="4" s="1"/>
  <c r="G6" i="4"/>
  <c r="I6" i="4" s="1"/>
  <c r="G5" i="4"/>
  <c r="J5" i="4" s="1"/>
  <c r="I4" i="4"/>
  <c r="G4" i="4"/>
  <c r="S13" i="3"/>
  <c r="C13" i="3"/>
  <c r="F13" i="5" s="1"/>
  <c r="S12" i="3"/>
  <c r="G12" i="3"/>
  <c r="S11" i="3"/>
  <c r="S10" i="3"/>
  <c r="M10" i="3"/>
  <c r="E10" i="3"/>
  <c r="S9" i="3"/>
  <c r="N9" i="3"/>
  <c r="S8" i="3"/>
  <c r="S7" i="3"/>
  <c r="H7" i="3"/>
  <c r="S6" i="3"/>
  <c r="S5" i="3"/>
  <c r="Q204" i="2"/>
  <c r="N204" i="2"/>
  <c r="O204" i="2" s="1"/>
  <c r="B204" i="2"/>
  <c r="Q203" i="2"/>
  <c r="N203" i="2"/>
  <c r="O203" i="2" s="1"/>
  <c r="B203" i="2"/>
  <c r="Q202" i="2"/>
  <c r="N202" i="2"/>
  <c r="O202" i="2" s="1"/>
  <c r="B202" i="2"/>
  <c r="Q201" i="2"/>
  <c r="N201" i="2"/>
  <c r="O201" i="2" s="1"/>
  <c r="B201" i="2"/>
  <c r="Q200" i="2"/>
  <c r="O200" i="2"/>
  <c r="N200" i="2"/>
  <c r="B200" i="2"/>
  <c r="Q199" i="2"/>
  <c r="N199" i="2"/>
  <c r="O199" i="2" s="1"/>
  <c r="B199" i="2"/>
  <c r="Q198" i="2"/>
  <c r="O198" i="2"/>
  <c r="N198" i="2"/>
  <c r="B198" i="2"/>
  <c r="Q197" i="2"/>
  <c r="N197" i="2"/>
  <c r="O197" i="2" s="1"/>
  <c r="B197" i="2"/>
  <c r="Q196" i="2"/>
  <c r="N196" i="2"/>
  <c r="O196" i="2" s="1"/>
  <c r="B196" i="2"/>
  <c r="Q195" i="2"/>
  <c r="N195" i="2"/>
  <c r="O195" i="2" s="1"/>
  <c r="B195" i="2"/>
  <c r="Q194" i="2"/>
  <c r="N194" i="2"/>
  <c r="O194" i="2" s="1"/>
  <c r="B194" i="2"/>
  <c r="Q193" i="2"/>
  <c r="O193" i="2"/>
  <c r="N193" i="2"/>
  <c r="B193" i="2"/>
  <c r="Q192" i="2"/>
  <c r="N192" i="2"/>
  <c r="O192" i="2" s="1"/>
  <c r="B192" i="2"/>
  <c r="Q191" i="2"/>
  <c r="O191" i="2"/>
  <c r="N191" i="2"/>
  <c r="B191" i="2"/>
  <c r="Q190" i="2"/>
  <c r="N190" i="2"/>
  <c r="O190" i="2" s="1"/>
  <c r="B190" i="2"/>
  <c r="Q189" i="2"/>
  <c r="N189" i="2"/>
  <c r="O189" i="2" s="1"/>
  <c r="B189" i="2"/>
  <c r="Q188" i="2"/>
  <c r="N188" i="2"/>
  <c r="O188" i="2" s="1"/>
  <c r="B188" i="2"/>
  <c r="Q187" i="2"/>
  <c r="N187" i="2"/>
  <c r="O187" i="2" s="1"/>
  <c r="B187" i="2"/>
  <c r="Q186" i="2"/>
  <c r="O186" i="2"/>
  <c r="N186" i="2"/>
  <c r="B186" i="2"/>
  <c r="Q185" i="2"/>
  <c r="N185" i="2"/>
  <c r="O185" i="2" s="1"/>
  <c r="B185" i="2"/>
  <c r="Q184" i="2"/>
  <c r="O184" i="2"/>
  <c r="N184" i="2"/>
  <c r="B184" i="2"/>
  <c r="Q183" i="2"/>
  <c r="N183" i="2"/>
  <c r="O183" i="2" s="1"/>
  <c r="B183" i="2"/>
  <c r="Q182" i="2"/>
  <c r="N182" i="2"/>
  <c r="O182" i="2" s="1"/>
  <c r="B182" i="2"/>
  <c r="Q181" i="2"/>
  <c r="N181" i="2"/>
  <c r="O181" i="2" s="1"/>
  <c r="B181" i="2"/>
  <c r="Q180" i="2"/>
  <c r="N180" i="2"/>
  <c r="O180" i="2" s="1"/>
  <c r="B180" i="2"/>
  <c r="Q179" i="2"/>
  <c r="O179" i="2"/>
  <c r="N179" i="2"/>
  <c r="B179" i="2"/>
  <c r="Q178" i="2"/>
  <c r="N178" i="2"/>
  <c r="O178" i="2" s="1"/>
  <c r="B178" i="2"/>
  <c r="Q177" i="2"/>
  <c r="O177" i="2"/>
  <c r="N177" i="2"/>
  <c r="B177" i="2"/>
  <c r="Q176" i="2"/>
  <c r="N176" i="2"/>
  <c r="O176" i="2" s="1"/>
  <c r="B176" i="2"/>
  <c r="Q175" i="2"/>
  <c r="N175" i="2"/>
  <c r="O175" i="2" s="1"/>
  <c r="B175" i="2"/>
  <c r="Q174" i="2"/>
  <c r="N174" i="2"/>
  <c r="O174" i="2" s="1"/>
  <c r="B174" i="2"/>
  <c r="Q173" i="2"/>
  <c r="N173" i="2"/>
  <c r="O173" i="2" s="1"/>
  <c r="B173" i="2"/>
  <c r="Q172" i="2"/>
  <c r="O172" i="2"/>
  <c r="N172" i="2"/>
  <c r="B172" i="2"/>
  <c r="Q171" i="2"/>
  <c r="N171" i="2"/>
  <c r="O171" i="2" s="1"/>
  <c r="B171" i="2"/>
  <c r="Q170" i="2"/>
  <c r="O170" i="2"/>
  <c r="N170" i="2"/>
  <c r="B170" i="2"/>
  <c r="Q169" i="2"/>
  <c r="N169" i="2"/>
  <c r="O169" i="2" s="1"/>
  <c r="B169" i="2"/>
  <c r="Q168" i="2"/>
  <c r="N168" i="2"/>
  <c r="O168" i="2" s="1"/>
  <c r="B168" i="2"/>
  <c r="Q167" i="2"/>
  <c r="N167" i="2"/>
  <c r="O167" i="2" s="1"/>
  <c r="B167" i="2"/>
  <c r="Q166" i="2"/>
  <c r="N166" i="2"/>
  <c r="O166" i="2" s="1"/>
  <c r="B166" i="2"/>
  <c r="Q165" i="2"/>
  <c r="O165" i="2"/>
  <c r="N165" i="2"/>
  <c r="B165" i="2"/>
  <c r="Q164" i="2"/>
  <c r="N164" i="2"/>
  <c r="O164" i="2" s="1"/>
  <c r="B164" i="2"/>
  <c r="Q163" i="2"/>
  <c r="O163" i="2"/>
  <c r="N163" i="2"/>
  <c r="B163" i="2"/>
  <c r="Q162" i="2"/>
  <c r="N162" i="2"/>
  <c r="O162" i="2" s="1"/>
  <c r="B162" i="2"/>
  <c r="Q161" i="2"/>
  <c r="N161" i="2"/>
  <c r="O161" i="2" s="1"/>
  <c r="B161" i="2"/>
  <c r="Q160" i="2"/>
  <c r="N160" i="2"/>
  <c r="O160" i="2" s="1"/>
  <c r="B160" i="2"/>
  <c r="Q159" i="2"/>
  <c r="N159" i="2"/>
  <c r="O159" i="2" s="1"/>
  <c r="B159" i="2"/>
  <c r="Q158" i="2"/>
  <c r="O158" i="2"/>
  <c r="N158" i="2"/>
  <c r="B158" i="2"/>
  <c r="Q157" i="2"/>
  <c r="N157" i="2"/>
  <c r="O157" i="2" s="1"/>
  <c r="B157" i="2"/>
  <c r="Q156" i="2"/>
  <c r="O156" i="2"/>
  <c r="N156" i="2"/>
  <c r="B156" i="2"/>
  <c r="Q155" i="2"/>
  <c r="N155" i="2"/>
  <c r="O155" i="2" s="1"/>
  <c r="B155" i="2"/>
  <c r="Q154" i="2"/>
  <c r="N154" i="2"/>
  <c r="O154" i="2" s="1"/>
  <c r="B154" i="2"/>
  <c r="Q153" i="2"/>
  <c r="N153" i="2"/>
  <c r="O153" i="2" s="1"/>
  <c r="B153" i="2"/>
  <c r="Q152" i="2"/>
  <c r="N152" i="2"/>
  <c r="O152" i="2" s="1"/>
  <c r="B152" i="2"/>
  <c r="Q151" i="2"/>
  <c r="O151" i="2"/>
  <c r="N151" i="2"/>
  <c r="B151" i="2"/>
  <c r="Q150" i="2"/>
  <c r="N150" i="2"/>
  <c r="O150" i="2" s="1"/>
  <c r="B150" i="2"/>
  <c r="Q149" i="2"/>
  <c r="O149" i="2"/>
  <c r="N149" i="2"/>
  <c r="B149" i="2"/>
  <c r="Q148" i="2"/>
  <c r="N148" i="2"/>
  <c r="O148" i="2" s="1"/>
  <c r="B148" i="2"/>
  <c r="Q147" i="2"/>
  <c r="N147" i="2"/>
  <c r="O147" i="2" s="1"/>
  <c r="B147" i="2"/>
  <c r="Q146" i="2"/>
  <c r="N146" i="2"/>
  <c r="O146" i="2" s="1"/>
  <c r="B146" i="2"/>
  <c r="Q145" i="2"/>
  <c r="N145" i="2"/>
  <c r="O145" i="2" s="1"/>
  <c r="B145" i="2"/>
  <c r="Q144" i="2"/>
  <c r="O144" i="2"/>
  <c r="N144" i="2"/>
  <c r="B144" i="2"/>
  <c r="Q143" i="2"/>
  <c r="N143" i="2"/>
  <c r="O143" i="2" s="1"/>
  <c r="B143" i="2"/>
  <c r="Q142" i="2"/>
  <c r="O142" i="2"/>
  <c r="N142" i="2"/>
  <c r="B142" i="2"/>
  <c r="Q141" i="2"/>
  <c r="N141" i="2"/>
  <c r="O141" i="2" s="1"/>
  <c r="B141" i="2"/>
  <c r="Q140" i="2"/>
  <c r="N140" i="2"/>
  <c r="O140" i="2" s="1"/>
  <c r="B140" i="2"/>
  <c r="Q139" i="2"/>
  <c r="N139" i="2"/>
  <c r="O139" i="2" s="1"/>
  <c r="B139" i="2"/>
  <c r="Q138" i="2"/>
  <c r="N138" i="2"/>
  <c r="O138" i="2" s="1"/>
  <c r="B138" i="2"/>
  <c r="Q137" i="2"/>
  <c r="O137" i="2"/>
  <c r="N137" i="2"/>
  <c r="B137" i="2"/>
  <c r="Q136" i="2"/>
  <c r="N136" i="2"/>
  <c r="O136" i="2" s="1"/>
  <c r="B136" i="2"/>
  <c r="Q135" i="2"/>
  <c r="O135" i="2"/>
  <c r="N135" i="2"/>
  <c r="B135" i="2"/>
  <c r="Q134" i="2"/>
  <c r="N134" i="2"/>
  <c r="O134" i="2" s="1"/>
  <c r="B134" i="2"/>
  <c r="Q133" i="2"/>
  <c r="N133" i="2"/>
  <c r="O133" i="2" s="1"/>
  <c r="B133" i="2"/>
  <c r="Q132" i="2"/>
  <c r="N132" i="2"/>
  <c r="O132" i="2" s="1"/>
  <c r="B132" i="2"/>
  <c r="Q131" i="2"/>
  <c r="N131" i="2"/>
  <c r="O131" i="2" s="1"/>
  <c r="B131" i="2"/>
  <c r="Q130" i="2"/>
  <c r="O130" i="2"/>
  <c r="N130" i="2"/>
  <c r="B130" i="2"/>
  <c r="Q129" i="2"/>
  <c r="N129" i="2"/>
  <c r="O129" i="2" s="1"/>
  <c r="B129" i="2"/>
  <c r="Q128" i="2"/>
  <c r="O128" i="2"/>
  <c r="N128" i="2"/>
  <c r="B128" i="2"/>
  <c r="Q127" i="2"/>
  <c r="N127" i="2"/>
  <c r="O127" i="2" s="1"/>
  <c r="B127" i="2"/>
  <c r="Q126" i="2"/>
  <c r="N126" i="2"/>
  <c r="O126" i="2" s="1"/>
  <c r="B126" i="2"/>
  <c r="Q125" i="2"/>
  <c r="N125" i="2"/>
  <c r="O125" i="2" s="1"/>
  <c r="B125" i="2"/>
  <c r="Q124" i="2"/>
  <c r="N124" i="2"/>
  <c r="O124" i="2" s="1"/>
  <c r="B124" i="2"/>
  <c r="Q123" i="2"/>
  <c r="O123" i="2"/>
  <c r="N123" i="2"/>
  <c r="B123" i="2"/>
  <c r="Q122" i="2"/>
  <c r="N122" i="2"/>
  <c r="O122" i="2" s="1"/>
  <c r="B122" i="2"/>
  <c r="Q121" i="2"/>
  <c r="O121" i="2"/>
  <c r="N121" i="2"/>
  <c r="B121" i="2"/>
  <c r="Q120" i="2"/>
  <c r="N120" i="2"/>
  <c r="O120" i="2" s="1"/>
  <c r="B120" i="2"/>
  <c r="Q119" i="2"/>
  <c r="N119" i="2"/>
  <c r="O119" i="2" s="1"/>
  <c r="B119" i="2"/>
  <c r="Q118" i="2"/>
  <c r="N118" i="2"/>
  <c r="O118" i="2" s="1"/>
  <c r="B118" i="2"/>
  <c r="Q117" i="2"/>
  <c r="N117" i="2"/>
  <c r="O117" i="2" s="1"/>
  <c r="B117" i="2"/>
  <c r="Q116" i="2"/>
  <c r="O116" i="2"/>
  <c r="N116" i="2"/>
  <c r="B116" i="2"/>
  <c r="Q115" i="2"/>
  <c r="N115" i="2"/>
  <c r="O115" i="2" s="1"/>
  <c r="B115" i="2"/>
  <c r="Q114" i="2"/>
  <c r="O114" i="2"/>
  <c r="N114" i="2"/>
  <c r="B114" i="2"/>
  <c r="Q113" i="2"/>
  <c r="N113" i="2"/>
  <c r="O113" i="2" s="1"/>
  <c r="B113" i="2"/>
  <c r="Q112" i="2"/>
  <c r="N112" i="2"/>
  <c r="O112" i="2" s="1"/>
  <c r="B112" i="2"/>
  <c r="Q111" i="2"/>
  <c r="N111" i="2"/>
  <c r="O111" i="2" s="1"/>
  <c r="B111" i="2"/>
  <c r="Q110" i="2"/>
  <c r="N110" i="2"/>
  <c r="O110" i="2" s="1"/>
  <c r="B110" i="2"/>
  <c r="Q109" i="2"/>
  <c r="O109" i="2"/>
  <c r="N109" i="2"/>
  <c r="B109" i="2"/>
  <c r="Q108" i="2"/>
  <c r="N108" i="2"/>
  <c r="O108" i="2" s="1"/>
  <c r="B108" i="2"/>
  <c r="Q107" i="2"/>
  <c r="O107" i="2"/>
  <c r="N107" i="2"/>
  <c r="B107" i="2"/>
  <c r="Q106" i="2"/>
  <c r="N106" i="2"/>
  <c r="O106" i="2" s="1"/>
  <c r="B106" i="2"/>
  <c r="Q105" i="2"/>
  <c r="N105" i="2"/>
  <c r="O105" i="2" s="1"/>
  <c r="B105" i="2"/>
  <c r="Q104" i="2"/>
  <c r="N104" i="2"/>
  <c r="O104" i="2" s="1"/>
  <c r="B104" i="2"/>
  <c r="Q103" i="2"/>
  <c r="N103" i="2"/>
  <c r="O103" i="2" s="1"/>
  <c r="B103" i="2"/>
  <c r="Q102" i="2"/>
  <c r="O102" i="2"/>
  <c r="N102" i="2"/>
  <c r="B102" i="2"/>
  <c r="Q101" i="2"/>
  <c r="N101" i="2"/>
  <c r="O101" i="2" s="1"/>
  <c r="B101" i="2"/>
  <c r="Q100" i="2"/>
  <c r="O100" i="2"/>
  <c r="N100" i="2"/>
  <c r="B100" i="2"/>
  <c r="Q99" i="2"/>
  <c r="N99" i="2"/>
  <c r="O99" i="2" s="1"/>
  <c r="B99" i="2"/>
  <c r="Q98" i="2"/>
  <c r="N98" i="2"/>
  <c r="O98" i="2" s="1"/>
  <c r="B98" i="2"/>
  <c r="Q97" i="2"/>
  <c r="N97" i="2"/>
  <c r="O97" i="2" s="1"/>
  <c r="B97" i="2"/>
  <c r="Q96" i="2"/>
  <c r="N96" i="2"/>
  <c r="O96" i="2" s="1"/>
  <c r="B96" i="2"/>
  <c r="Q95" i="2"/>
  <c r="O95" i="2"/>
  <c r="N95" i="2"/>
  <c r="B95" i="2"/>
  <c r="Q94" i="2"/>
  <c r="N94" i="2"/>
  <c r="O94" i="2" s="1"/>
  <c r="B94" i="2"/>
  <c r="Q93" i="2"/>
  <c r="O93" i="2"/>
  <c r="N93" i="2"/>
  <c r="B93" i="2"/>
  <c r="Q92" i="2"/>
  <c r="N92" i="2"/>
  <c r="O92" i="2" s="1"/>
  <c r="B92" i="2"/>
  <c r="Q91" i="2"/>
  <c r="N91" i="2"/>
  <c r="O91" i="2" s="1"/>
  <c r="B91" i="2"/>
  <c r="Q90" i="2"/>
  <c r="N90" i="2"/>
  <c r="O90" i="2" s="1"/>
  <c r="B90" i="2"/>
  <c r="Q89" i="2"/>
  <c r="N89" i="2"/>
  <c r="O89" i="2" s="1"/>
  <c r="B89" i="2"/>
  <c r="Q88" i="2"/>
  <c r="O88" i="2"/>
  <c r="N88" i="2"/>
  <c r="B88" i="2"/>
  <c r="Q87" i="2"/>
  <c r="N87" i="2"/>
  <c r="O87" i="2" s="1"/>
  <c r="B87" i="2"/>
  <c r="Q86" i="2"/>
  <c r="O86" i="2"/>
  <c r="N86" i="2"/>
  <c r="B86" i="2"/>
  <c r="Q85" i="2"/>
  <c r="N85" i="2"/>
  <c r="O85" i="2" s="1"/>
  <c r="B85" i="2"/>
  <c r="Q84" i="2"/>
  <c r="N84" i="2"/>
  <c r="O84" i="2" s="1"/>
  <c r="B84" i="2"/>
  <c r="Q83" i="2"/>
  <c r="N83" i="2"/>
  <c r="O83" i="2" s="1"/>
  <c r="B83" i="2"/>
  <c r="Q82" i="2"/>
  <c r="N82" i="2"/>
  <c r="O82" i="2" s="1"/>
  <c r="B82" i="2"/>
  <c r="Q81" i="2"/>
  <c r="O81" i="2"/>
  <c r="N81" i="2"/>
  <c r="B81" i="2"/>
  <c r="Q80" i="2"/>
  <c r="N80" i="2"/>
  <c r="O80" i="2" s="1"/>
  <c r="B80" i="2"/>
  <c r="Q79" i="2"/>
  <c r="O79" i="2"/>
  <c r="N79" i="2"/>
  <c r="B79" i="2"/>
  <c r="Q78" i="2"/>
  <c r="N78" i="2"/>
  <c r="O78" i="2" s="1"/>
  <c r="B78" i="2"/>
  <c r="Q77" i="2"/>
  <c r="N77" i="2"/>
  <c r="O77" i="2" s="1"/>
  <c r="B77" i="2"/>
  <c r="Q76" i="2"/>
  <c r="N76" i="2"/>
  <c r="O76" i="2" s="1"/>
  <c r="B76" i="2"/>
  <c r="Q75" i="2"/>
  <c r="N75" i="2"/>
  <c r="O75" i="2" s="1"/>
  <c r="B75" i="2"/>
  <c r="Q74" i="2"/>
  <c r="O74" i="2"/>
  <c r="N74" i="2"/>
  <c r="B74" i="2"/>
  <c r="Q73" i="2"/>
  <c r="N73" i="2"/>
  <c r="O73" i="2" s="1"/>
  <c r="B73" i="2"/>
  <c r="Q72" i="2"/>
  <c r="O72" i="2"/>
  <c r="N72" i="2"/>
  <c r="B72" i="2"/>
  <c r="Q71" i="2"/>
  <c r="N71" i="2"/>
  <c r="O71" i="2" s="1"/>
  <c r="B71" i="2"/>
  <c r="Q70" i="2"/>
  <c r="N70" i="2"/>
  <c r="O70" i="2" s="1"/>
  <c r="B70" i="2"/>
  <c r="Q69" i="2"/>
  <c r="N69" i="2"/>
  <c r="O69" i="2" s="1"/>
  <c r="B69" i="2"/>
  <c r="Q68" i="2"/>
  <c r="N68" i="2"/>
  <c r="O68" i="2" s="1"/>
  <c r="B68" i="2"/>
  <c r="Q67" i="2"/>
  <c r="O67" i="2"/>
  <c r="N67" i="2"/>
  <c r="B67" i="2"/>
  <c r="Q66" i="2"/>
  <c r="N66" i="2"/>
  <c r="O66" i="2" s="1"/>
  <c r="B66" i="2"/>
  <c r="Q65" i="2"/>
  <c r="O65" i="2"/>
  <c r="N65" i="2"/>
  <c r="B65" i="2"/>
  <c r="Q64" i="2"/>
  <c r="N64" i="2"/>
  <c r="O64" i="2" s="1"/>
  <c r="B64" i="2"/>
  <c r="Q63" i="2"/>
  <c r="N63" i="2"/>
  <c r="O63" i="2" s="1"/>
  <c r="B63" i="2"/>
  <c r="Q62" i="2"/>
  <c r="N62" i="2"/>
  <c r="O62" i="2" s="1"/>
  <c r="B62" i="2"/>
  <c r="Q61" i="2"/>
  <c r="N61" i="2"/>
  <c r="O61" i="2" s="1"/>
  <c r="B61" i="2"/>
  <c r="Q60" i="2"/>
  <c r="O60" i="2"/>
  <c r="N60" i="2"/>
  <c r="B60" i="2"/>
  <c r="Q59" i="2"/>
  <c r="N59" i="2"/>
  <c r="O59" i="2" s="1"/>
  <c r="B59" i="2"/>
  <c r="Q58" i="2"/>
  <c r="O58" i="2"/>
  <c r="N58" i="2"/>
  <c r="B58" i="2"/>
  <c r="Q57" i="2"/>
  <c r="N57" i="2"/>
  <c r="O57" i="2" s="1"/>
  <c r="B57" i="2"/>
  <c r="Q56" i="2"/>
  <c r="N56" i="2"/>
  <c r="O56" i="2" s="1"/>
  <c r="B56" i="2"/>
  <c r="Q55" i="2"/>
  <c r="N55" i="2"/>
  <c r="O55" i="2" s="1"/>
  <c r="B55" i="2"/>
  <c r="Q54" i="2"/>
  <c r="N54" i="2"/>
  <c r="O54" i="2" s="1"/>
  <c r="B54" i="2"/>
  <c r="Q53" i="2"/>
  <c r="O53" i="2"/>
  <c r="N53" i="2"/>
  <c r="B53" i="2"/>
  <c r="Q52" i="2"/>
  <c r="N52" i="2"/>
  <c r="O52" i="2" s="1"/>
  <c r="B52" i="2"/>
  <c r="Q51" i="2"/>
  <c r="O51" i="2"/>
  <c r="N51" i="2"/>
  <c r="B51" i="2"/>
  <c r="Q50" i="2"/>
  <c r="N50" i="2"/>
  <c r="O50" i="2" s="1"/>
  <c r="B50" i="2"/>
  <c r="Q49" i="2"/>
  <c r="N49" i="2"/>
  <c r="O49" i="2" s="1"/>
  <c r="B49" i="2"/>
  <c r="Q48" i="2"/>
  <c r="N48" i="2"/>
  <c r="O48" i="2" s="1"/>
  <c r="B48" i="2"/>
  <c r="Q47" i="2"/>
  <c r="N47" i="2"/>
  <c r="O47" i="2" s="1"/>
  <c r="B47" i="2"/>
  <c r="Q46" i="2"/>
  <c r="O46" i="2"/>
  <c r="N46" i="2"/>
  <c r="B46" i="2"/>
  <c r="Q45" i="2"/>
  <c r="N45" i="2"/>
  <c r="O45" i="2" s="1"/>
  <c r="B45" i="2"/>
  <c r="Q44" i="2"/>
  <c r="O44" i="2"/>
  <c r="N44" i="2"/>
  <c r="B44" i="2"/>
  <c r="Q43" i="2"/>
  <c r="N43" i="2"/>
  <c r="O43" i="2" s="1"/>
  <c r="B43" i="2"/>
  <c r="Q42" i="2"/>
  <c r="N42" i="2"/>
  <c r="O42" i="2" s="1"/>
  <c r="B42" i="2"/>
  <c r="Q41" i="2"/>
  <c r="N41" i="2"/>
  <c r="O41" i="2" s="1"/>
  <c r="B41" i="2"/>
  <c r="Q40" i="2"/>
  <c r="N40" i="2"/>
  <c r="O40" i="2" s="1"/>
  <c r="B40" i="2"/>
  <c r="Q39" i="2"/>
  <c r="O39" i="2"/>
  <c r="N39" i="2"/>
  <c r="B39" i="2"/>
  <c r="Q38" i="2"/>
  <c r="N38" i="2"/>
  <c r="O38" i="2" s="1"/>
  <c r="B38" i="2"/>
  <c r="Q37" i="2"/>
  <c r="O37" i="2"/>
  <c r="N37" i="2"/>
  <c r="B37" i="2"/>
  <c r="Q36" i="2"/>
  <c r="N36" i="2"/>
  <c r="O36" i="2" s="1"/>
  <c r="B36" i="2"/>
  <c r="Q35" i="2"/>
  <c r="N35" i="2"/>
  <c r="O35" i="2" s="1"/>
  <c r="B35" i="2"/>
  <c r="Q34" i="2"/>
  <c r="N34" i="2"/>
  <c r="O34" i="2" s="1"/>
  <c r="B34" i="2"/>
  <c r="Q33" i="2"/>
  <c r="N33" i="2"/>
  <c r="O33" i="2" s="1"/>
  <c r="B33" i="2"/>
  <c r="Q32" i="2"/>
  <c r="O32" i="2"/>
  <c r="N32" i="2"/>
  <c r="B32" i="2"/>
  <c r="Q31" i="2"/>
  <c r="N31" i="2"/>
  <c r="O31" i="2" s="1"/>
  <c r="B31" i="2"/>
  <c r="Q30" i="2"/>
  <c r="O30" i="2"/>
  <c r="N30" i="2"/>
  <c r="B30" i="2"/>
  <c r="Q29" i="2"/>
  <c r="N29" i="2"/>
  <c r="O29" i="2" s="1"/>
  <c r="B29" i="2"/>
  <c r="Q28" i="2"/>
  <c r="N28" i="2"/>
  <c r="O28" i="2" s="1"/>
  <c r="B28" i="2"/>
  <c r="Q27" i="2"/>
  <c r="N27" i="2"/>
  <c r="O27" i="2" s="1"/>
  <c r="B27" i="2"/>
  <c r="Q26" i="2"/>
  <c r="N26" i="2"/>
  <c r="O26" i="2" s="1"/>
  <c r="B26" i="2"/>
  <c r="Q25" i="2"/>
  <c r="O25" i="2"/>
  <c r="N25" i="2"/>
  <c r="B25" i="2"/>
  <c r="Q24" i="2"/>
  <c r="N24" i="2"/>
  <c r="O24" i="2" s="1"/>
  <c r="B24" i="2"/>
  <c r="Q23" i="2"/>
  <c r="O23" i="2"/>
  <c r="N23" i="2"/>
  <c r="B23" i="2"/>
  <c r="Q22" i="2"/>
  <c r="N22" i="2"/>
  <c r="O22" i="2" s="1"/>
  <c r="B22" i="2"/>
  <c r="Q21" i="2"/>
  <c r="N21" i="2"/>
  <c r="O21" i="2" s="1"/>
  <c r="B21" i="2"/>
  <c r="Q20" i="2"/>
  <c r="N20" i="2"/>
  <c r="O20" i="2" s="1"/>
  <c r="B20" i="2"/>
  <c r="Q19" i="2"/>
  <c r="N19" i="2"/>
  <c r="O19" i="2" s="1"/>
  <c r="B19" i="2"/>
  <c r="Q18" i="2"/>
  <c r="O18" i="2"/>
  <c r="N18" i="2"/>
  <c r="B18" i="2"/>
  <c r="Q17" i="2"/>
  <c r="N17" i="2"/>
  <c r="O17" i="2" s="1"/>
  <c r="B17" i="2"/>
  <c r="Q16" i="2"/>
  <c r="O16" i="2"/>
  <c r="N16" i="2"/>
  <c r="B16" i="2"/>
  <c r="Q15" i="2"/>
  <c r="N15" i="2"/>
  <c r="O15" i="2" s="1"/>
  <c r="B15" i="2"/>
  <c r="Q14" i="2"/>
  <c r="N14" i="2"/>
  <c r="O14" i="2" s="1"/>
  <c r="B14" i="2"/>
  <c r="Q13" i="2"/>
  <c r="N13" i="2"/>
  <c r="O13" i="2" s="1"/>
  <c r="B13" i="2"/>
  <c r="Q12" i="2"/>
  <c r="N12" i="2"/>
  <c r="O12" i="2" s="1"/>
  <c r="B12" i="2"/>
  <c r="Q11" i="2"/>
  <c r="O11" i="2"/>
  <c r="N11" i="2"/>
  <c r="B11" i="2"/>
  <c r="Q10" i="2"/>
  <c r="N10" i="2"/>
  <c r="O10" i="2" s="1"/>
  <c r="B10" i="2"/>
  <c r="Q9" i="2"/>
  <c r="O9" i="2"/>
  <c r="N9" i="2"/>
  <c r="B9" i="2"/>
  <c r="Q8" i="2"/>
  <c r="N8" i="2"/>
  <c r="O8" i="2" s="1"/>
  <c r="B8" i="2"/>
  <c r="Q7" i="2"/>
  <c r="N7" i="2"/>
  <c r="O7" i="2" s="1"/>
  <c r="B7" i="2"/>
  <c r="I7" i="3" s="1"/>
  <c r="Q6" i="2"/>
  <c r="N6" i="2"/>
  <c r="O6" i="2" s="1"/>
  <c r="B6" i="2"/>
  <c r="Q5" i="2"/>
  <c r="N5" i="2"/>
  <c r="O5" i="2" s="1"/>
  <c r="B5" i="2"/>
  <c r="I12" i="3" s="1"/>
  <c r="F11" i="3" l="1"/>
  <c r="N5" i="3"/>
  <c r="A6" i="6"/>
  <c r="O5" i="3"/>
  <c r="J7" i="3"/>
  <c r="D9" i="3"/>
  <c r="K7" i="3"/>
  <c r="E9" i="3"/>
  <c r="J12" i="3"/>
  <c r="B6" i="5"/>
  <c r="B10" i="5"/>
  <c r="D10" i="5" s="1"/>
  <c r="H28" i="6" s="1"/>
  <c r="B14" i="5"/>
  <c r="L7" i="3"/>
  <c r="F9" i="3"/>
  <c r="K12" i="3"/>
  <c r="C6" i="5"/>
  <c r="H6" i="5" s="1"/>
  <c r="C10" i="5"/>
  <c r="C14" i="5"/>
  <c r="H14" i="5" s="1"/>
  <c r="D6" i="6"/>
  <c r="N10" i="3"/>
  <c r="M7" i="3"/>
  <c r="L12" i="3"/>
  <c r="N7" i="3"/>
  <c r="H9" i="3"/>
  <c r="M12" i="3"/>
  <c r="J4" i="4"/>
  <c r="G9" i="3"/>
  <c r="O7" i="3"/>
  <c r="N12" i="3"/>
  <c r="F6" i="5"/>
  <c r="F14" i="5"/>
  <c r="E6" i="3"/>
  <c r="J9" i="3"/>
  <c r="D11" i="3"/>
  <c r="O12" i="3"/>
  <c r="I5" i="4"/>
  <c r="B11" i="6"/>
  <c r="D6" i="3"/>
  <c r="I9" i="3"/>
  <c r="F10" i="5"/>
  <c r="G10" i="5" s="1"/>
  <c r="F6" i="3"/>
  <c r="K9" i="3"/>
  <c r="E11" i="3"/>
  <c r="B12" i="6"/>
  <c r="B7" i="5"/>
  <c r="B11" i="5"/>
  <c r="D11" i="5" s="1"/>
  <c r="H29" i="6" s="1"/>
  <c r="B15" i="5"/>
  <c r="D15" i="5" s="1"/>
  <c r="H33" i="6" s="1"/>
  <c r="B13" i="6"/>
  <c r="L9" i="3"/>
  <c r="C7" i="5"/>
  <c r="H7" i="5" s="1"/>
  <c r="C15" i="5"/>
  <c r="B14" i="6"/>
  <c r="H6" i="3"/>
  <c r="C11" i="5"/>
  <c r="B16" i="6"/>
  <c r="F8" i="3"/>
  <c r="M6" i="3"/>
  <c r="O9" i="3"/>
  <c r="K6" i="3"/>
  <c r="F15" i="5"/>
  <c r="G15" i="5" s="1"/>
  <c r="L6" i="3"/>
  <c r="K11" i="3"/>
  <c r="J7" i="4"/>
  <c r="G8" i="3"/>
  <c r="L11" i="3"/>
  <c r="N6" i="3"/>
  <c r="H8" i="3"/>
  <c r="M11" i="3"/>
  <c r="I8" i="4"/>
  <c r="B8" i="5"/>
  <c r="D8" i="5" s="1"/>
  <c r="H26" i="6" s="1"/>
  <c r="B12" i="5"/>
  <c r="D12" i="5" s="1"/>
  <c r="H30" i="6" s="1"/>
  <c r="B16" i="5"/>
  <c r="D16" i="5" s="1"/>
  <c r="H34" i="6" s="1"/>
  <c r="G6" i="3"/>
  <c r="I6" i="3"/>
  <c r="I11" i="3"/>
  <c r="J11" i="3"/>
  <c r="F7" i="5"/>
  <c r="O6" i="3"/>
  <c r="I8" i="3"/>
  <c r="N11" i="3"/>
  <c r="C8" i="5"/>
  <c r="H8" i="5" s="1"/>
  <c r="C12" i="5"/>
  <c r="C16" i="5"/>
  <c r="H11" i="3"/>
  <c r="J6" i="4"/>
  <c r="E8" i="3"/>
  <c r="F11" i="5"/>
  <c r="G11" i="5" s="1"/>
  <c r="D5" i="3"/>
  <c r="E5" i="3"/>
  <c r="J8" i="3"/>
  <c r="D10" i="3"/>
  <c r="O11" i="3"/>
  <c r="J6" i="3"/>
  <c r="G5" i="3"/>
  <c r="L8" i="3"/>
  <c r="F10" i="3"/>
  <c r="F8" i="5"/>
  <c r="F12" i="5"/>
  <c r="G12" i="5" s="1"/>
  <c r="F16" i="5"/>
  <c r="G16" i="5" s="1"/>
  <c r="D8" i="3"/>
  <c r="H5" i="3"/>
  <c r="H13" i="3" s="1"/>
  <c r="M8" i="3"/>
  <c r="G10" i="3"/>
  <c r="M9" i="3"/>
  <c r="F5" i="3"/>
  <c r="I5" i="3"/>
  <c r="I13" i="3" s="1"/>
  <c r="B15" i="6"/>
  <c r="B13" i="5"/>
  <c r="K8" i="3"/>
  <c r="N8" i="3"/>
  <c r="H10" i="3"/>
  <c r="J5" i="3"/>
  <c r="D7" i="3"/>
  <c r="O8" i="3"/>
  <c r="I10" i="3"/>
  <c r="B5" i="5"/>
  <c r="B9" i="5"/>
  <c r="K5" i="3"/>
  <c r="E7" i="3"/>
  <c r="J10" i="3"/>
  <c r="D12" i="3"/>
  <c r="C5" i="5"/>
  <c r="C9" i="5"/>
  <c r="H9" i="5" s="1"/>
  <c r="C13" i="5"/>
  <c r="H13" i="5" s="1"/>
  <c r="E12" i="3"/>
  <c r="G11" i="3"/>
  <c r="L5" i="3"/>
  <c r="F7" i="3"/>
  <c r="K10" i="3"/>
  <c r="M5" i="3"/>
  <c r="G7" i="3"/>
  <c r="L10" i="3"/>
  <c r="F12" i="3"/>
  <c r="F5" i="5"/>
  <c r="F9" i="5"/>
  <c r="H12" i="3"/>
  <c r="O10" i="3"/>
  <c r="J6" i="6" l="1"/>
  <c r="A21" i="6" s="1"/>
  <c r="F13" i="3"/>
  <c r="G7" i="5"/>
  <c r="D7" i="5"/>
  <c r="H25" i="6" s="1"/>
  <c r="H10" i="5"/>
  <c r="G8" i="5"/>
  <c r="D14" i="5"/>
  <c r="H32" i="6" s="1"/>
  <c r="G13" i="3"/>
  <c r="P6" i="3"/>
  <c r="D6" i="5"/>
  <c r="H24" i="6" s="1"/>
  <c r="P12" i="3"/>
  <c r="P10" i="3"/>
  <c r="M13" i="3"/>
  <c r="P11" i="3"/>
  <c r="P9" i="3"/>
  <c r="L13" i="3"/>
  <c r="E13" i="3"/>
  <c r="D13" i="3"/>
  <c r="P5" i="3"/>
  <c r="O13" i="3"/>
  <c r="P8" i="3"/>
  <c r="D9" i="5"/>
  <c r="H27" i="6" s="1"/>
  <c r="G14" i="5"/>
  <c r="G6" i="6"/>
  <c r="G6" i="5"/>
  <c r="N13" i="3"/>
  <c r="D5" i="5"/>
  <c r="B17" i="5"/>
  <c r="J13" i="3"/>
  <c r="H16" i="5"/>
  <c r="P7" i="3"/>
  <c r="H12" i="5"/>
  <c r="H11" i="5"/>
  <c r="G13" i="5"/>
  <c r="G5" i="5"/>
  <c r="F17" i="5"/>
  <c r="H5" i="5"/>
  <c r="C17" i="5"/>
  <c r="K13" i="3"/>
  <c r="D13" i="5"/>
  <c r="H31" i="6" s="1"/>
  <c r="G9" i="5"/>
  <c r="H15" i="5"/>
  <c r="R12" i="3" l="1"/>
  <c r="T12" i="3" s="1"/>
  <c r="Q12" i="3"/>
  <c r="R11" i="3"/>
  <c r="T11" i="3" s="1"/>
  <c r="Q11" i="3"/>
  <c r="H17" i="5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D17" i="5"/>
  <c r="H23" i="6"/>
  <c r="Q6" i="3"/>
  <c r="R6" i="3"/>
  <c r="T6" i="3" s="1"/>
  <c r="G17" i="5"/>
  <c r="R8" i="3"/>
  <c r="T8" i="3" s="1"/>
  <c r="Q8" i="3"/>
  <c r="P13" i="3"/>
  <c r="R5" i="3"/>
  <c r="T5" i="3" s="1"/>
  <c r="Q5" i="3"/>
  <c r="Q9" i="3"/>
  <c r="R9" i="3"/>
  <c r="T9" i="3" s="1"/>
  <c r="R10" i="3"/>
  <c r="T10" i="3" s="1"/>
  <c r="Q10" i="3"/>
  <c r="R7" i="3"/>
  <c r="T7" i="3" s="1"/>
  <c r="Q7" i="3"/>
  <c r="R13" i="3" l="1"/>
  <c r="T13" i="3" s="1"/>
  <c r="Q13" i="3"/>
</calcChain>
</file>

<file path=xl/sharedStrings.xml><?xml version="1.0" encoding="utf-8"?>
<sst xmlns="http://schemas.openxmlformats.org/spreadsheetml/2006/main" count="484" uniqueCount="174">
  <si>
    <t>负责人</t>
  </si>
  <si>
    <t>责任人</t>
  </si>
  <si>
    <t>年度预算</t>
  </si>
  <si>
    <t>财务流水明细台账</t>
  </si>
  <si>
    <t>填写提示：金额统一录入正数，业务类型决定收入或支出；黄色列为人工录入，绿色列为自动计算。</t>
  </si>
  <si>
    <t>日期</t>
  </si>
  <si>
    <t>月份</t>
  </si>
  <si>
    <t>业务类型</t>
  </si>
  <si>
    <t>部门</t>
  </si>
  <si>
    <t>项目/站点</t>
  </si>
  <si>
    <t>费用类别</t>
  </si>
  <si>
    <t>摘要</t>
  </si>
  <si>
    <t>对方单位</t>
  </si>
  <si>
    <t>发票状态</t>
  </si>
  <si>
    <t>支付状态</t>
  </si>
  <si>
    <t>付款方式</t>
  </si>
  <si>
    <t>金额(含税)</t>
  </si>
  <si>
    <t>税率</t>
  </si>
  <si>
    <t>税额</t>
  </si>
  <si>
    <t>未税金额</t>
  </si>
  <si>
    <t>经办人</t>
  </si>
  <si>
    <t>异常检查</t>
  </si>
  <si>
    <t>收入</t>
  </si>
  <si>
    <t>运营部</t>
  </si>
  <si>
    <t>金坛体育馆站</t>
  </si>
  <si>
    <t>充电服务收入</t>
  </si>
  <si>
    <t>1月充电服务收入</t>
  </si>
  <si>
    <t>常州某运营公司</t>
  </si>
  <si>
    <t>已开票</t>
  </si>
  <si>
    <t>已收款</t>
  </si>
  <si>
    <t>银行转账</t>
  </si>
  <si>
    <t>张敏</t>
  </si>
  <si>
    <t>支出</t>
  </si>
  <si>
    <t>研发部</t>
  </si>
  <si>
    <t>AI平台一期</t>
  </si>
  <si>
    <t>软件服务费</t>
  </si>
  <si>
    <t>模型API及云资源</t>
  </si>
  <si>
    <t>某科技公司</t>
  </si>
  <si>
    <t>已收票</t>
  </si>
  <si>
    <t>已付款</t>
  </si>
  <si>
    <t>李强</t>
  </si>
  <si>
    <t>电费</t>
  </si>
  <si>
    <t>1月场站购电费</t>
  </si>
  <si>
    <t>国网常州供电公司</t>
  </si>
  <si>
    <t>王芳</t>
  </si>
  <si>
    <t>弘阳广场站</t>
  </si>
  <si>
    <t>2月充电服务收入</t>
  </si>
  <si>
    <t>市场部</t>
  </si>
  <si>
    <t>品牌推广</t>
  </si>
  <si>
    <t>市场推广费</t>
  </si>
  <si>
    <t>行业会议展位费</t>
  </si>
  <si>
    <t>某会展公司</t>
  </si>
  <si>
    <t>公司卡</t>
  </si>
  <si>
    <t>赵晨</t>
  </si>
  <si>
    <t>项目部</t>
  </si>
  <si>
    <t>储能改造项目</t>
  </si>
  <si>
    <t>项目服务收入</t>
  </si>
  <si>
    <t>储能EMS实施款</t>
  </si>
  <si>
    <t>某能源公司</t>
  </si>
  <si>
    <t>部分收款</t>
  </si>
  <si>
    <t>陈杰</t>
  </si>
  <si>
    <t>设备采购</t>
  </si>
  <si>
    <t>储能计量设备采购</t>
  </si>
  <si>
    <t>某设备公司</t>
  </si>
  <si>
    <t>行政部</t>
  </si>
  <si>
    <t>总部</t>
  </si>
  <si>
    <t>办公费</t>
  </si>
  <si>
    <t>办公耗材采购</t>
  </si>
  <si>
    <t>某商贸公司</t>
  </si>
  <si>
    <t>刘悦</t>
  </si>
  <si>
    <t>凤凰谷站</t>
  </si>
  <si>
    <t>4月充电服务收入</t>
  </si>
  <si>
    <t>差旅费</t>
  </si>
  <si>
    <t>项目调研差旅</t>
  </si>
  <si>
    <t>个人报销</t>
  </si>
  <si>
    <t>无需发票</t>
  </si>
  <si>
    <t>个人垫付</t>
  </si>
  <si>
    <t>运维费</t>
  </si>
  <si>
    <t>充电桩年度巡检</t>
  </si>
  <si>
    <t>某运维公司</t>
  </si>
  <si>
    <t>未收票</t>
  </si>
  <si>
    <t>未付款</t>
  </si>
  <si>
    <t>数据平台项目</t>
  </si>
  <si>
    <t>数据平台二期里程碑款</t>
  </si>
  <si>
    <t>某电力公司</t>
  </si>
  <si>
    <t>人力资源部</t>
  </si>
  <si>
    <t>培训费</t>
  </si>
  <si>
    <t>AI工具培训</t>
  </si>
  <si>
    <t>某培训机构</t>
  </si>
  <si>
    <t>孙静</t>
  </si>
  <si>
    <t>7月充电服务预结算</t>
  </si>
  <si>
    <t>7月场站购电费</t>
  </si>
  <si>
    <t>7月模型API费用</t>
  </si>
  <si>
    <t>内容制作费用</t>
  </si>
  <si>
    <t>某传媒公司</t>
  </si>
  <si>
    <t>验收尾款</t>
  </si>
  <si>
    <t>未开票</t>
  </si>
  <si>
    <t>未收款</t>
  </si>
  <si>
    <t>年度预算执行表</t>
  </si>
  <si>
    <t>黄色列为年度预算输入；各月实际取自“财务流水”中的支出数据。</t>
  </si>
  <si>
    <t>1月实际</t>
  </si>
  <si>
    <t>2月实际</t>
  </si>
  <si>
    <t>3月实际</t>
  </si>
  <si>
    <t>4月实际</t>
  </si>
  <si>
    <t>5月实际</t>
  </si>
  <si>
    <t>6月实际</t>
  </si>
  <si>
    <t>7月实际</t>
  </si>
  <si>
    <t>8月实际</t>
  </si>
  <si>
    <t>9月实际</t>
  </si>
  <si>
    <t>10月实际</t>
  </si>
  <si>
    <t>11月实际</t>
  </si>
  <si>
    <t>12月实际</t>
  </si>
  <si>
    <t>累计实际</t>
  </si>
  <si>
    <t>剩余预算</t>
  </si>
  <si>
    <t>执行率</t>
  </si>
  <si>
    <t>年度进度</t>
  </si>
  <si>
    <t>偏差状态</t>
  </si>
  <si>
    <t>合计</t>
  </si>
  <si>
    <t>应收应付与账期跟踪</t>
  </si>
  <si>
    <t>单号</t>
  </si>
  <si>
    <t>类型</t>
  </si>
  <si>
    <t>项目</t>
  </si>
  <si>
    <t>合同金额</t>
  </si>
  <si>
    <t>已收/已付</t>
  </si>
  <si>
    <t>未结金额</t>
  </si>
  <si>
    <t>到期日</t>
  </si>
  <si>
    <t>状态</t>
  </si>
  <si>
    <t>逾期天数</t>
  </si>
  <si>
    <t>下一步动作</t>
  </si>
  <si>
    <t>AR-26001</t>
  </si>
  <si>
    <t>应收</t>
  </si>
  <si>
    <t>催收剩余里程碑款</t>
  </si>
  <si>
    <t>AR-26002</t>
  </si>
  <si>
    <t>验收后开票催收</t>
  </si>
  <si>
    <t>AR-26003</t>
  </si>
  <si>
    <t>7月充电服务</t>
  </si>
  <si>
    <t>已结清归档</t>
  </si>
  <si>
    <t>AP-26001</t>
  </si>
  <si>
    <t>应付</t>
  </si>
  <si>
    <t>AI平台API费用</t>
  </si>
  <si>
    <t>核对发票后付款</t>
  </si>
  <si>
    <t>AP-26002</t>
  </si>
  <si>
    <t>品牌内容制作</t>
  </si>
  <si>
    <t>补齐发票与验收材料</t>
  </si>
  <si>
    <t>AP-26003</t>
  </si>
  <si>
    <t>凤凰谷年度巡检</t>
  </si>
  <si>
    <t>确认巡检报告并排款</t>
  </si>
  <si>
    <t>2026年月度经营财务汇总</t>
  </si>
  <si>
    <t>净现金流</t>
  </si>
  <si>
    <t>累计净现金流</t>
  </si>
  <si>
    <t>支出预算</t>
  </si>
  <si>
    <t>预算差异</t>
  </si>
  <si>
    <t>预算执行率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</si>
  <si>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</si>
  <si>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</si>
  <si>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</si>
  <si>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</si>
  <si>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</si>
  <si>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</si>
  <si>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</si>
  <si>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</si>
  <si>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</si>
  <si>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</si>
  <si>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</si>
  <si>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</si>
  <si>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全年合计</t>
  </si>
  <si>
    <t>财务管理看板</t>
  </si>
  <si>
    <t>查看月份</t>
  </si>
  <si>
    <t>本月收入</t>
  </si>
  <si>
    <t>本月支出</t>
  </si>
  <si>
    <t>逾期未结</t>
  </si>
  <si>
    <t>本月费用结构</t>
  </si>
  <si>
    <t>金额</t>
  </si>
  <si>
    <t>管理提示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</si>
</sst>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;[Red]\(#,##0.00\);\-"/>
    <numFmt numFmtId="178" formatCode="#,##0;[Red]\(#,##0\);\-"/>
    <numFmt numFmtId="179" formatCode="0.0%"/>
  </numFmts>
  <fonts count="13">
    <font>
      <sz val="11"/>
      <name val="Carlito"/>
    </font>
    <font>
      <b/>
      <sz val="18"/>
      <color rgb="FFFFFFFF"/>
      <name val="Noto Sans SC Thin"/>
      <family val="2"/>
      <charset val="134"/>
    </font>
    <font>
      <sz val="11"/>
      <name val="Noto Sans SC Thin"/>
      <family val="2"/>
      <charset val="134"/>
    </font>
    <font>
      <sz val="10"/>
      <color rgb="FF333333"/>
      <name val="Noto Sans SC Thin"/>
      <family val="2"/>
      <charset val="134"/>
    </font>
    <font>
      <b/>
      <sz val="12"/>
      <color rgb="FF17365D"/>
      <name val="Noto Sans SC Thin"/>
      <family val="2"/>
      <charset val="134"/>
    </font>
    <font>
      <b/>
      <sz val="11"/>
      <color rgb="FFFFFFFF"/>
      <name val="Noto Sans SC Thin"/>
      <family val="2"/>
      <charset val="134"/>
    </font>
    <font>
      <sz val="11"/>
      <color rgb="FF7F6000"/>
      <name val="Noto Sans SC Thin"/>
      <family val="2"/>
      <charset val="134"/>
    </font>
    <font>
      <b/>
      <sz val="10"/>
      <color rgb="FF17365D"/>
      <name val="Noto Sans SC Thin"/>
      <family val="2"/>
      <charset val="134"/>
    </font>
    <font>
      <b/>
      <sz val="11"/>
      <color rgb="FF17365D"/>
      <name val="Noto Sans SC Thin"/>
      <family val="2"/>
      <charset val="134"/>
    </font>
    <font>
      <b/>
      <sz val="16"/>
      <color rgb="FF333333"/>
      <name val="Noto Sans SC Thin"/>
      <family val="2"/>
      <charset val="134"/>
    </font>
    <font>
      <sz val="11"/>
      <color rgb="FF333333"/>
      <name val="Noto Sans SC Thin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double">
        <color rgb="FF17365D"/>
      </top>
      <bottom/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5" fillId="5" borderId="4" xfId="1" applyFont="1" applyFill="1" applyBorder="1" applyAlignment="1">
      <alignment horizontal="center" vertical="center" wrapText="1"/>
    </xf>
    <xf numFmtId="176" fontId="3" fillId="6" borderId="1" xfId="1" applyNumberFormat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177" fontId="3" fillId="6" borderId="1" xfId="1" applyNumberFormat="1" applyFont="1" applyFill="1" applyBorder="1" applyAlignment="1">
      <alignment vertical="center" wrapText="1"/>
    </xf>
    <xf numFmtId="9" fontId="3" fillId="6" borderId="1" xfId="1" applyNumberFormat="1" applyFont="1" applyFill="1" applyBorder="1" applyAlignment="1">
      <alignment vertical="center" wrapText="1"/>
    </xf>
    <xf numFmtId="177" fontId="3" fillId="7" borderId="1" xfId="1" applyNumberFormat="1" applyFont="1" applyFill="1" applyBorder="1" applyAlignment="1">
      <alignment vertical="center" wrapText="1"/>
    </xf>
    <xf numFmtId="176" fontId="3" fillId="6" borderId="2" xfId="1" applyNumberFormat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177" fontId="3" fillId="6" borderId="2" xfId="1" applyNumberFormat="1" applyFont="1" applyFill="1" applyBorder="1" applyAlignment="1">
      <alignment vertical="center" wrapText="1"/>
    </xf>
    <xf numFmtId="9" fontId="3" fillId="6" borderId="2" xfId="1" applyNumberFormat="1" applyFont="1" applyFill="1" applyBorder="1" applyAlignment="1">
      <alignment vertical="center" wrapText="1"/>
    </xf>
    <xf numFmtId="177" fontId="3" fillId="7" borderId="2" xfId="1" applyNumberFormat="1" applyFont="1" applyFill="1" applyBorder="1" applyAlignment="1">
      <alignment vertical="center" wrapText="1"/>
    </xf>
    <xf numFmtId="176" fontId="3" fillId="6" borderId="3" xfId="1" applyNumberFormat="1" applyFont="1" applyFill="1" applyBorder="1" applyAlignment="1">
      <alignment vertical="center" wrapText="1"/>
    </xf>
    <xf numFmtId="0" fontId="3" fillId="7" borderId="3" xfId="1" applyFont="1" applyFill="1" applyBorder="1" applyAlignment="1">
      <alignment vertical="center" wrapText="1"/>
    </xf>
    <xf numFmtId="0" fontId="3" fillId="6" borderId="3" xfId="1" applyFont="1" applyFill="1" applyBorder="1" applyAlignment="1">
      <alignment vertical="center" wrapText="1"/>
    </xf>
    <xf numFmtId="177" fontId="3" fillId="6" borderId="3" xfId="1" applyNumberFormat="1" applyFont="1" applyFill="1" applyBorder="1" applyAlignment="1">
      <alignment vertical="center" wrapText="1"/>
    </xf>
    <xf numFmtId="9" fontId="3" fillId="6" borderId="3" xfId="1" applyNumberFormat="1" applyFont="1" applyFill="1" applyBorder="1" applyAlignment="1">
      <alignment vertical="center" wrapText="1"/>
    </xf>
    <xf numFmtId="177" fontId="3" fillId="7" borderId="3" xfId="1" applyNumberFormat="1" applyFont="1" applyFill="1" applyBorder="1" applyAlignment="1">
      <alignment vertical="center" wrapText="1"/>
    </xf>
    <xf numFmtId="178" fontId="3" fillId="6" borderId="1" xfId="1" applyNumberFormat="1" applyFont="1" applyFill="1" applyBorder="1" applyAlignment="1">
      <alignment vertical="center"/>
    </xf>
    <xf numFmtId="178" fontId="3" fillId="7" borderId="1" xfId="1" applyNumberFormat="1" applyFont="1" applyFill="1" applyBorder="1" applyAlignment="1">
      <alignment vertical="center"/>
    </xf>
    <xf numFmtId="179" fontId="3" fillId="7" borderId="1" xfId="1" applyNumberFormat="1" applyFont="1" applyFill="1" applyBorder="1" applyAlignment="1">
      <alignment vertical="center"/>
    </xf>
    <xf numFmtId="0" fontId="3" fillId="7" borderId="1" xfId="1" applyFont="1" applyFill="1" applyBorder="1" applyAlignment="1">
      <alignment vertical="center"/>
    </xf>
    <xf numFmtId="178" fontId="3" fillId="6" borderId="2" xfId="1" applyNumberFormat="1" applyFont="1" applyFill="1" applyBorder="1" applyAlignment="1">
      <alignment vertical="center"/>
    </xf>
    <xf numFmtId="178" fontId="3" fillId="7" borderId="2" xfId="1" applyNumberFormat="1" applyFont="1" applyFill="1" applyBorder="1" applyAlignment="1">
      <alignment vertical="center"/>
    </xf>
    <xf numFmtId="179" fontId="3" fillId="7" borderId="2" xfId="1" applyNumberFormat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7" fillId="9" borderId="5" xfId="1" applyFont="1" applyFill="1" applyBorder="1" applyAlignment="1">
      <alignment vertical="center"/>
    </xf>
    <xf numFmtId="178" fontId="7" fillId="9" borderId="5" xfId="1" applyNumberFormat="1" applyFont="1" applyFill="1" applyBorder="1" applyAlignment="1">
      <alignment vertical="center"/>
    </xf>
    <xf numFmtId="179" fontId="7" fillId="9" borderId="5" xfId="1" applyNumberFormat="1" applyFont="1" applyFill="1" applyBorder="1" applyAlignment="1">
      <alignment vertical="center"/>
    </xf>
    <xf numFmtId="1" fontId="3" fillId="7" borderId="1" xfId="1" applyNumberFormat="1" applyFont="1" applyFill="1" applyBorder="1" applyAlignment="1">
      <alignment vertical="center" wrapText="1"/>
    </xf>
    <xf numFmtId="1" fontId="3" fillId="7" borderId="2" xfId="1" applyNumberFormat="1" applyFont="1" applyFill="1" applyBorder="1" applyAlignment="1">
      <alignment vertical="center" wrapText="1"/>
    </xf>
    <xf numFmtId="1" fontId="3" fillId="7" borderId="3" xfId="1" applyNumberFormat="1" applyFont="1" applyFill="1" applyBorder="1" applyAlignment="1">
      <alignment vertical="center" wrapText="1"/>
    </xf>
    <xf numFmtId="0" fontId="8" fillId="6" borderId="0" xfId="1" applyFont="1" applyFill="1" applyAlignment="1">
      <alignment horizontal="center"/>
    </xf>
    <xf numFmtId="178" fontId="3" fillId="0" borderId="1" xfId="1" applyNumberFormat="1" applyFont="1" applyBorder="1" applyAlignment="1">
      <alignment vertical="center"/>
    </xf>
    <xf numFmtId="178" fontId="3" fillId="0" borderId="2" xfId="1" applyNumberFormat="1" applyFont="1" applyBorder="1" applyAlignment="1">
      <alignment vertical="center"/>
    </xf>
    <xf numFmtId="178" fontId="3" fillId="0" borderId="3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4" fillId="4" borderId="0" xfId="1" applyFont="1" applyFill="1" applyAlignment="1">
      <alignment vertical="center"/>
    </xf>
    <xf numFmtId="0" fontId="6" fillId="6" borderId="0" xfId="1" applyFont="1" applyFill="1" applyAlignment="1">
      <alignment wrapText="1"/>
    </xf>
    <xf numFmtId="0" fontId="6" fillId="6" borderId="0" xfId="1" applyFont="1" applyFill="1"/>
    <xf numFmtId="0" fontId="7" fillId="9" borderId="5" xfId="1" applyFont="1" applyFill="1" applyBorder="1" applyAlignment="1">
      <alignment vertical="center"/>
    </xf>
    <xf numFmtId="0" fontId="8" fillId="4" borderId="0" xfId="1" applyFont="1" applyFill="1" applyAlignment="1">
      <alignment horizontal="center"/>
    </xf>
    <xf numFmtId="178" fontId="9" fillId="4" borderId="0" xfId="1" applyNumberFormat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8" fillId="8" borderId="0" xfId="1" applyFont="1" applyFill="1" applyAlignment="1">
      <alignment horizontal="center"/>
    </xf>
    <xf numFmtId="178" fontId="9" fillId="8" borderId="0" xfId="1" applyNumberFormat="1" applyFont="1" applyFill="1" applyAlignment="1">
      <alignment horizontal="center"/>
    </xf>
    <xf numFmtId="0" fontId="9" fillId="8" borderId="0" xfId="1" applyFont="1" applyFill="1" applyAlignment="1">
      <alignment horizontal="center"/>
    </xf>
    <xf numFmtId="0" fontId="8" fillId="7" borderId="0" xfId="1" applyFont="1" applyFill="1" applyAlignment="1">
      <alignment horizontal="center"/>
    </xf>
    <xf numFmtId="178" fontId="9" fillId="7" borderId="0" xfId="1" applyNumberFormat="1" applyFont="1" applyFill="1" applyAlignment="1">
      <alignment horizontal="center"/>
    </xf>
    <xf numFmtId="0" fontId="9" fillId="7" borderId="0" xfId="1" applyFont="1" applyFill="1" applyAlignment="1">
      <alignment horizontal="center"/>
    </xf>
    <xf numFmtId="0" fontId="1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6">
    <dxf>
      <font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月度收入、支出与净现金流（元）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收入</c:v>
          </c:tx>
          <c:marker>
            <c:symbol val="none"/>
          </c:marker>
          <c:cat>
            <c:strRef>
              <c:f>月度汇总!$A$5:$A$16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月度汇总!$B$5:$B$16</c:f>
              <c:numCache>
                <c:formatCode>#,##0;[Red]\(#,##0\);\-</c:formatCode>
                <c:ptCount val="12"/>
                <c:pt idx="0">
                  <c:v>286000</c:v>
                </c:pt>
                <c:pt idx="1">
                  <c:v>301000</c:v>
                </c:pt>
                <c:pt idx="2">
                  <c:v>420000</c:v>
                </c:pt>
                <c:pt idx="3">
                  <c:v>318000</c:v>
                </c:pt>
                <c:pt idx="4">
                  <c:v>0</c:v>
                </c:pt>
                <c:pt idx="5">
                  <c:v>560000</c:v>
                </c:pt>
                <c:pt idx="6">
                  <c:v>555000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FE-4AD3-9FE6-4A0EB3164EF2}"/>
            </c:ext>
          </c:extLst>
        </c:ser>
        <c:ser>
          <c:idx val="1"/>
          <c:order val="1"/>
          <c:tx>
            <c:v>支出</c:v>
          </c:tx>
          <c:marker>
            <c:symbol val="none"/>
          </c:marker>
          <c:cat>
            <c:strRef>
              <c:f>月度汇总!$A$5:$A$16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月度汇总!$C$5:$C$16</c:f>
              <c:numCache>
                <c:formatCode>#,##0;[Red]\(#,##0\);\-</c:formatCode>
                <c:ptCount val="12"/>
                <c:pt idx="0">
                  <c:v>130000</c:v>
                </c:pt>
                <c:pt idx="1">
                  <c:v>26000</c:v>
                </c:pt>
                <c:pt idx="2">
                  <c:v>185000</c:v>
                </c:pt>
                <c:pt idx="3">
                  <c:v>12800</c:v>
                </c:pt>
                <c:pt idx="4">
                  <c:v>54600</c:v>
                </c:pt>
                <c:pt idx="5">
                  <c:v>32000</c:v>
                </c:pt>
                <c:pt idx="6">
                  <c:v>168000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FE-4AD3-9FE6-4A0EB3164EF2}"/>
            </c:ext>
          </c:extLst>
        </c:ser>
        <c:ser>
          <c:idx val="2"/>
          <c:order val="2"/>
          <c:tx>
            <c:v>净现金流</c:v>
          </c:tx>
          <c:marker>
            <c:symbol val="none"/>
          </c:marker>
          <c:cat>
            <c:strRef>
              <c:f>月度汇总!$A$5:$A$16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月度汇总!$D$5:$D$16</c:f>
              <c:numCache>
                <c:formatCode>#,##0;[Red]\(#,##0\);\-</c:formatCode>
                <c:ptCount val="12"/>
                <c:pt idx="0">
                  <c:v>156000</c:v>
                </c:pt>
                <c:pt idx="1">
                  <c:v>275000</c:v>
                </c:pt>
                <c:pt idx="2">
                  <c:v>235000</c:v>
                </c:pt>
                <c:pt idx="3">
                  <c:v>305200</c:v>
                </c:pt>
                <c:pt idx="4">
                  <c:v>-54600</c:v>
                </c:pt>
                <c:pt idx="5">
                  <c:v>528000</c:v>
                </c:pt>
                <c:pt idx="6">
                  <c:v>387000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FE-4AD3-9FE6-4A0EB3164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本月费用类别金额（元）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金额</c:v>
          </c:tx>
          <c:invertIfNegative val="1"/>
          <c:cat>
            <c:strRef>
              <c:f>管理看板!$A$10:$A$17</c:f>
              <c:strCache>
                <c:ptCount val="8"/>
                <c:pt idx="0">
                  <c:v>电费</c:v>
                </c:pt>
                <c:pt idx="1">
                  <c:v>运维费</c:v>
                </c:pt>
                <c:pt idx="2">
                  <c:v>软件服务费</c:v>
                </c:pt>
                <c:pt idx="3">
                  <c:v>差旅费</c:v>
                </c:pt>
                <c:pt idx="4">
                  <c:v>设备采购</c:v>
                </c:pt>
                <c:pt idx="5">
                  <c:v>市场推广费</c:v>
                </c:pt>
                <c:pt idx="6">
                  <c:v>办公费</c:v>
                </c:pt>
                <c:pt idx="7">
                  <c:v>培训费</c:v>
                </c:pt>
              </c:strCache>
            </c:strRef>
          </c:cat>
          <c:val>
            <c:numRef>
              <c:f>管理看板!$B$10:$B$17</c:f>
              <c:numCache>
                <c:formatCode>#,##0;[Red]\(#,##0\);\-</c:formatCode>
                <c:ptCount val="8"/>
                <c:pt idx="0">
                  <c:v>108000</c:v>
                </c:pt>
                <c:pt idx="1">
                  <c:v>0</c:v>
                </c:pt>
                <c:pt idx="2">
                  <c:v>42000</c:v>
                </c:pt>
                <c:pt idx="3">
                  <c:v>0</c:v>
                </c:pt>
                <c:pt idx="4">
                  <c:v>0</c:v>
                </c:pt>
                <c:pt idx="5">
                  <c:v>18000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A-4DAC-8256-6D8A3778D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月度净现金流趋势（元）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净现金流</c:v>
          </c:tx>
          <c:marker>
            <c:symbol val="none"/>
          </c:marker>
          <c:cat>
            <c:strRef>
              <c:f>管理看板!$G$23:$G$34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管理看板!$H$23:$H$34</c:f>
              <c:numCache>
                <c:formatCode>General</c:formatCode>
                <c:ptCount val="12"/>
                <c:pt idx="0">
                  <c:v>156000</c:v>
                </c:pt>
                <c:pt idx="1">
                  <c:v>275000</c:v>
                </c:pt>
                <c:pt idx="2">
                  <c:v>235000</c:v>
                </c:pt>
                <c:pt idx="3">
                  <c:v>305200</c:v>
                </c:pt>
                <c:pt idx="4">
                  <c:v>-54600</c:v>
                </c:pt>
                <c:pt idx="5">
                  <c:v>528000</c:v>
                </c:pt>
                <c:pt idx="6">
                  <c:v>387000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56-4E58-991C-BD48C0B57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showGridLines="0" workbookViewId="0">
      <selection sqref="A1:Q2"/>
    </sheetView>
  </sheetViews>
  <sheetFormatPr defaultRowHeight="14"/>
  <cols>
    <col min="1" max="1" width="12" customWidth="1"/>
    <col min="2" max="3" width="11" customWidth="1"/>
    <col min="4" max="4" width="14" customWidth="1"/>
    <col min="5" max="5" width="20" customWidth="1"/>
    <col min="6" max="6" width="18" customWidth="1"/>
    <col min="7" max="7" width="24" customWidth="1"/>
    <col min="8" max="8" width="22" customWidth="1"/>
    <col min="9" max="11" width="12" customWidth="1"/>
    <col min="12" max="12" width="15" customWidth="1"/>
    <col min="13" max="13" width="9" customWidth="1"/>
    <col min="14" max="15" width="14" customWidth="1"/>
    <col min="16" max="17" width="12" customWidth="1"/>
  </cols>
  <sheetData>
    <row r="1" spans="1:17" ht="34" customHeight="1">
      <c r="A1" s="42" t="s">
        <v>3</v>
      </c>
      <c r="B1" s="42" t="s">
        <v>3</v>
      </c>
      <c r="C1" s="42" t="s">
        <v>3</v>
      </c>
      <c r="D1" s="42" t="s">
        <v>3</v>
      </c>
      <c r="E1" s="42" t="s">
        <v>3</v>
      </c>
      <c r="F1" s="42" t="s">
        <v>3</v>
      </c>
      <c r="G1" s="42" t="s">
        <v>3</v>
      </c>
      <c r="H1" s="42" t="s">
        <v>3</v>
      </c>
      <c r="I1" s="42" t="s">
        <v>3</v>
      </c>
      <c r="J1" s="42" t="s">
        <v>3</v>
      </c>
      <c r="K1" s="42" t="s">
        <v>3</v>
      </c>
      <c r="L1" s="42" t="s">
        <v>3</v>
      </c>
      <c r="M1" s="42" t="s">
        <v>3</v>
      </c>
      <c r="N1" s="42" t="s">
        <v>3</v>
      </c>
      <c r="O1" s="42" t="s">
        <v>3</v>
      </c>
      <c r="P1" s="42" t="s">
        <v>3</v>
      </c>
      <c r="Q1" s="42" t="s">
        <v>3</v>
      </c>
    </row>
    <row r="2" spans="1:17" ht="34" customHeight="1">
      <c r="A2" s="42" t="s">
        <v>3</v>
      </c>
      <c r="B2" s="42" t="s">
        <v>3</v>
      </c>
      <c r="C2" s="42" t="s">
        <v>3</v>
      </c>
      <c r="D2" s="42" t="s">
        <v>3</v>
      </c>
      <c r="E2" s="42" t="s">
        <v>3</v>
      </c>
      <c r="F2" s="42" t="s">
        <v>3</v>
      </c>
      <c r="G2" s="42" t="s">
        <v>3</v>
      </c>
      <c r="H2" s="42" t="s">
        <v>3</v>
      </c>
      <c r="I2" s="42" t="s">
        <v>3</v>
      </c>
      <c r="J2" s="42" t="s">
        <v>3</v>
      </c>
      <c r="K2" s="42" t="s">
        <v>3</v>
      </c>
      <c r="L2" s="42" t="s">
        <v>3</v>
      </c>
      <c r="M2" s="42" t="s">
        <v>3</v>
      </c>
      <c r="N2" s="42" t="s">
        <v>3</v>
      </c>
      <c r="O2" s="42" t="s">
        <v>3</v>
      </c>
      <c r="P2" s="42" t="s">
        <v>3</v>
      </c>
      <c r="Q2" s="42" t="s">
        <v>3</v>
      </c>
    </row>
    <row r="3" spans="1:17" ht="18.5">
      <c r="A3" s="44" t="s">
        <v>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ht="3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</row>
    <row r="5" spans="1:17" ht="16.5">
      <c r="A5" s="6">
        <v>46028</v>
      </c>
      <c r="B5" s="7" t="str">
        <f t="shared" ref="B5:B36" si="0">TEXT(A5,"yyyy-mm")</f>
        <v>2026-01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8" t="s">
        <v>30</v>
      </c>
      <c r="L5" s="9">
        <v>286000</v>
      </c>
      <c r="M5" s="10">
        <v>0.06</v>
      </c>
      <c r="N5" s="11">
        <f t="shared" ref="N5:N36" si="1">IFERROR(L5*M5/(1+M5),0)</f>
        <v>16188.679245283018</v>
      </c>
      <c r="O5" s="11">
        <f t="shared" ref="O5:O36" si="2">L5-N5</f>
        <v>269811.32075471699</v>
      </c>
      <c r="P5" s="8" t="s">
        <v>31</v>
      </c>
      <c r="Q5" s="7" t="str">
        <f t="shared" ref="Q5:Q36" si="3">IF(A5="","",IF(OR(L5&lt;=0,C5="",D5="",F5=""),"需检查",IF(AND(C5="支出",I5="未收票"),"缺发票","正常")))</f>
        <v>正常</v>
      </c>
    </row>
    <row r="6" spans="1:17" ht="16.5">
      <c r="A6" s="12">
        <v>46032</v>
      </c>
      <c r="B6" s="13" t="str">
        <f t="shared" si="0"/>
        <v>2026-01</v>
      </c>
      <c r="C6" s="14" t="s">
        <v>32</v>
      </c>
      <c r="D6" s="14" t="s">
        <v>33</v>
      </c>
      <c r="E6" s="14" t="s">
        <v>34</v>
      </c>
      <c r="F6" s="14" t="s">
        <v>35</v>
      </c>
      <c r="G6" s="14" t="s">
        <v>36</v>
      </c>
      <c r="H6" s="14" t="s">
        <v>37</v>
      </c>
      <c r="I6" s="14" t="s">
        <v>38</v>
      </c>
      <c r="J6" s="14" t="s">
        <v>39</v>
      </c>
      <c r="K6" s="14" t="s">
        <v>30</v>
      </c>
      <c r="L6" s="15">
        <v>38000</v>
      </c>
      <c r="M6" s="16">
        <v>0.06</v>
      </c>
      <c r="N6" s="17">
        <f t="shared" si="1"/>
        <v>2150.9433962264152</v>
      </c>
      <c r="O6" s="17">
        <f t="shared" si="2"/>
        <v>35849.056603773584</v>
      </c>
      <c r="P6" s="14" t="s">
        <v>40</v>
      </c>
      <c r="Q6" s="13" t="str">
        <f t="shared" si="3"/>
        <v>正常</v>
      </c>
    </row>
    <row r="7" spans="1:17" ht="16.5">
      <c r="A7" s="12">
        <v>46040</v>
      </c>
      <c r="B7" s="13" t="str">
        <f t="shared" si="0"/>
        <v>2026-01</v>
      </c>
      <c r="C7" s="14" t="s">
        <v>32</v>
      </c>
      <c r="D7" s="14" t="s">
        <v>23</v>
      </c>
      <c r="E7" s="14" t="s">
        <v>24</v>
      </c>
      <c r="F7" s="14" t="s">
        <v>41</v>
      </c>
      <c r="G7" s="14" t="s">
        <v>42</v>
      </c>
      <c r="H7" s="14" t="s">
        <v>43</v>
      </c>
      <c r="I7" s="14" t="s">
        <v>38</v>
      </c>
      <c r="J7" s="14" t="s">
        <v>39</v>
      </c>
      <c r="K7" s="14" t="s">
        <v>30</v>
      </c>
      <c r="L7" s="15">
        <v>92000</v>
      </c>
      <c r="M7" s="16">
        <v>0.13</v>
      </c>
      <c r="N7" s="17">
        <f t="shared" si="1"/>
        <v>10584.070796460179</v>
      </c>
      <c r="O7" s="17">
        <f t="shared" si="2"/>
        <v>81415.929203539825</v>
      </c>
      <c r="P7" s="14" t="s">
        <v>44</v>
      </c>
      <c r="Q7" s="13" t="str">
        <f t="shared" si="3"/>
        <v>正常</v>
      </c>
    </row>
    <row r="8" spans="1:17" ht="16.5">
      <c r="A8" s="12">
        <v>46061</v>
      </c>
      <c r="B8" s="13" t="str">
        <f t="shared" si="0"/>
        <v>2026-02</v>
      </c>
      <c r="C8" s="14" t="s">
        <v>22</v>
      </c>
      <c r="D8" s="14" t="s">
        <v>23</v>
      </c>
      <c r="E8" s="14" t="s">
        <v>45</v>
      </c>
      <c r="F8" s="14" t="s">
        <v>25</v>
      </c>
      <c r="G8" s="14" t="s">
        <v>46</v>
      </c>
      <c r="H8" s="14" t="s">
        <v>27</v>
      </c>
      <c r="I8" s="14" t="s">
        <v>28</v>
      </c>
      <c r="J8" s="14" t="s">
        <v>29</v>
      </c>
      <c r="K8" s="14" t="s">
        <v>30</v>
      </c>
      <c r="L8" s="15">
        <v>301000</v>
      </c>
      <c r="M8" s="16">
        <v>0.06</v>
      </c>
      <c r="N8" s="17">
        <f t="shared" si="1"/>
        <v>17037.735849056604</v>
      </c>
      <c r="O8" s="17">
        <f t="shared" si="2"/>
        <v>283962.26415094337</v>
      </c>
      <c r="P8" s="14" t="s">
        <v>31</v>
      </c>
      <c r="Q8" s="13" t="str">
        <f t="shared" si="3"/>
        <v>正常</v>
      </c>
    </row>
    <row r="9" spans="1:17" ht="16.5">
      <c r="A9" s="12">
        <v>46068</v>
      </c>
      <c r="B9" s="13" t="str">
        <f t="shared" si="0"/>
        <v>2026-02</v>
      </c>
      <c r="C9" s="14" t="s">
        <v>32</v>
      </c>
      <c r="D9" s="14" t="s">
        <v>47</v>
      </c>
      <c r="E9" s="14" t="s">
        <v>48</v>
      </c>
      <c r="F9" s="14" t="s">
        <v>49</v>
      </c>
      <c r="G9" s="14" t="s">
        <v>50</v>
      </c>
      <c r="H9" s="14" t="s">
        <v>51</v>
      </c>
      <c r="I9" s="14" t="s">
        <v>38</v>
      </c>
      <c r="J9" s="14" t="s">
        <v>39</v>
      </c>
      <c r="K9" s="14" t="s">
        <v>52</v>
      </c>
      <c r="L9" s="15">
        <v>26000</v>
      </c>
      <c r="M9" s="16">
        <v>0.06</v>
      </c>
      <c r="N9" s="17">
        <f t="shared" si="1"/>
        <v>1471.6981132075471</v>
      </c>
      <c r="O9" s="17">
        <f t="shared" si="2"/>
        <v>24528.301886792455</v>
      </c>
      <c r="P9" s="14" t="s">
        <v>53</v>
      </c>
      <c r="Q9" s="13" t="str">
        <f t="shared" si="3"/>
        <v>正常</v>
      </c>
    </row>
    <row r="10" spans="1:17" ht="16.5">
      <c r="A10" s="12">
        <v>46086</v>
      </c>
      <c r="B10" s="13" t="str">
        <f t="shared" si="0"/>
        <v>2026-03</v>
      </c>
      <c r="C10" s="14" t="s">
        <v>22</v>
      </c>
      <c r="D10" s="14" t="s">
        <v>54</v>
      </c>
      <c r="E10" s="14" t="s">
        <v>55</v>
      </c>
      <c r="F10" s="14" t="s">
        <v>56</v>
      </c>
      <c r="G10" s="14" t="s">
        <v>57</v>
      </c>
      <c r="H10" s="14" t="s">
        <v>58</v>
      </c>
      <c r="I10" s="14" t="s">
        <v>28</v>
      </c>
      <c r="J10" s="14" t="s">
        <v>59</v>
      </c>
      <c r="K10" s="14" t="s">
        <v>30</v>
      </c>
      <c r="L10" s="15">
        <v>420000</v>
      </c>
      <c r="M10" s="16">
        <v>0.06</v>
      </c>
      <c r="N10" s="17">
        <f t="shared" si="1"/>
        <v>23773.584905660377</v>
      </c>
      <c r="O10" s="17">
        <f t="shared" si="2"/>
        <v>396226.41509433964</v>
      </c>
      <c r="P10" s="14" t="s">
        <v>60</v>
      </c>
      <c r="Q10" s="13" t="str">
        <f t="shared" si="3"/>
        <v>正常</v>
      </c>
    </row>
    <row r="11" spans="1:17" ht="16.5">
      <c r="A11" s="12">
        <v>46092</v>
      </c>
      <c r="B11" s="13" t="str">
        <f t="shared" si="0"/>
        <v>2026-03</v>
      </c>
      <c r="C11" s="14" t="s">
        <v>32</v>
      </c>
      <c r="D11" s="14" t="s">
        <v>54</v>
      </c>
      <c r="E11" s="14" t="s">
        <v>55</v>
      </c>
      <c r="F11" s="14" t="s">
        <v>61</v>
      </c>
      <c r="G11" s="14" t="s">
        <v>62</v>
      </c>
      <c r="H11" s="14" t="s">
        <v>63</v>
      </c>
      <c r="I11" s="14" t="s">
        <v>38</v>
      </c>
      <c r="J11" s="14" t="s">
        <v>39</v>
      </c>
      <c r="K11" s="14" t="s">
        <v>30</v>
      </c>
      <c r="L11" s="15">
        <v>185000</v>
      </c>
      <c r="M11" s="16">
        <v>0.13</v>
      </c>
      <c r="N11" s="17">
        <f t="shared" si="1"/>
        <v>21283.185840707967</v>
      </c>
      <c r="O11" s="17">
        <f t="shared" si="2"/>
        <v>163716.81415929203</v>
      </c>
      <c r="P11" s="14" t="s">
        <v>60</v>
      </c>
      <c r="Q11" s="13" t="str">
        <f t="shared" si="3"/>
        <v>正常</v>
      </c>
    </row>
    <row r="12" spans="1:17" ht="16.5">
      <c r="A12" s="12">
        <v>46121</v>
      </c>
      <c r="B12" s="13" t="str">
        <f t="shared" si="0"/>
        <v>2026-04</v>
      </c>
      <c r="C12" s="14" t="s">
        <v>32</v>
      </c>
      <c r="D12" s="14" t="s">
        <v>64</v>
      </c>
      <c r="E12" s="14" t="s">
        <v>65</v>
      </c>
      <c r="F12" s="14" t="s">
        <v>66</v>
      </c>
      <c r="G12" s="14" t="s">
        <v>67</v>
      </c>
      <c r="H12" s="14" t="s">
        <v>68</v>
      </c>
      <c r="I12" s="14" t="s">
        <v>38</v>
      </c>
      <c r="J12" s="14" t="s">
        <v>39</v>
      </c>
      <c r="K12" s="14" t="s">
        <v>52</v>
      </c>
      <c r="L12" s="15">
        <v>12800</v>
      </c>
      <c r="M12" s="16">
        <v>0.13</v>
      </c>
      <c r="N12" s="17">
        <f t="shared" si="1"/>
        <v>1472.5663716814161</v>
      </c>
      <c r="O12" s="17">
        <f t="shared" si="2"/>
        <v>11327.433628318584</v>
      </c>
      <c r="P12" s="14" t="s">
        <v>69</v>
      </c>
      <c r="Q12" s="13" t="str">
        <f t="shared" si="3"/>
        <v>正常</v>
      </c>
    </row>
    <row r="13" spans="1:17" ht="16.5">
      <c r="A13" s="12">
        <v>46137</v>
      </c>
      <c r="B13" s="13" t="str">
        <f t="shared" si="0"/>
        <v>2026-04</v>
      </c>
      <c r="C13" s="14" t="s">
        <v>22</v>
      </c>
      <c r="D13" s="14" t="s">
        <v>23</v>
      </c>
      <c r="E13" s="14" t="s">
        <v>70</v>
      </c>
      <c r="F13" s="14" t="s">
        <v>25</v>
      </c>
      <c r="G13" s="14" t="s">
        <v>71</v>
      </c>
      <c r="H13" s="14" t="s">
        <v>27</v>
      </c>
      <c r="I13" s="14" t="s">
        <v>28</v>
      </c>
      <c r="J13" s="14" t="s">
        <v>29</v>
      </c>
      <c r="K13" s="14" t="s">
        <v>30</v>
      </c>
      <c r="L13" s="15">
        <v>318000</v>
      </c>
      <c r="M13" s="16">
        <v>0.06</v>
      </c>
      <c r="N13" s="17">
        <f t="shared" si="1"/>
        <v>18000</v>
      </c>
      <c r="O13" s="17">
        <f t="shared" si="2"/>
        <v>300000</v>
      </c>
      <c r="P13" s="14" t="s">
        <v>31</v>
      </c>
      <c r="Q13" s="13" t="str">
        <f t="shared" si="3"/>
        <v>正常</v>
      </c>
    </row>
    <row r="14" spans="1:17" ht="16.5">
      <c r="A14" s="12">
        <v>46148</v>
      </c>
      <c r="B14" s="13" t="str">
        <f t="shared" si="0"/>
        <v>2026-05</v>
      </c>
      <c r="C14" s="14" t="s">
        <v>32</v>
      </c>
      <c r="D14" s="14" t="s">
        <v>33</v>
      </c>
      <c r="E14" s="14" t="s">
        <v>34</v>
      </c>
      <c r="F14" s="14" t="s">
        <v>72</v>
      </c>
      <c r="G14" s="14" t="s">
        <v>73</v>
      </c>
      <c r="H14" s="14" t="s">
        <v>74</v>
      </c>
      <c r="I14" s="14" t="s">
        <v>75</v>
      </c>
      <c r="J14" s="14" t="s">
        <v>39</v>
      </c>
      <c r="K14" s="14" t="s">
        <v>76</v>
      </c>
      <c r="L14" s="15">
        <v>8600</v>
      </c>
      <c r="M14" s="16">
        <v>0</v>
      </c>
      <c r="N14" s="17">
        <f t="shared" si="1"/>
        <v>0</v>
      </c>
      <c r="O14" s="17">
        <f t="shared" si="2"/>
        <v>8600</v>
      </c>
      <c r="P14" s="14" t="s">
        <v>40</v>
      </c>
      <c r="Q14" s="13" t="str">
        <f t="shared" si="3"/>
        <v>正常</v>
      </c>
    </row>
    <row r="15" spans="1:17" ht="16.5">
      <c r="A15" s="12">
        <v>46162</v>
      </c>
      <c r="B15" s="13" t="str">
        <f t="shared" si="0"/>
        <v>2026-05</v>
      </c>
      <c r="C15" s="14" t="s">
        <v>32</v>
      </c>
      <c r="D15" s="14" t="s">
        <v>23</v>
      </c>
      <c r="E15" s="14" t="s">
        <v>70</v>
      </c>
      <c r="F15" s="14" t="s">
        <v>77</v>
      </c>
      <c r="G15" s="14" t="s">
        <v>78</v>
      </c>
      <c r="H15" s="14" t="s">
        <v>79</v>
      </c>
      <c r="I15" s="14" t="s">
        <v>80</v>
      </c>
      <c r="J15" s="14" t="s">
        <v>81</v>
      </c>
      <c r="K15" s="14" t="s">
        <v>30</v>
      </c>
      <c r="L15" s="15">
        <v>46000</v>
      </c>
      <c r="M15" s="16">
        <v>0.06</v>
      </c>
      <c r="N15" s="17">
        <f t="shared" si="1"/>
        <v>2603.7735849056603</v>
      </c>
      <c r="O15" s="17">
        <f t="shared" si="2"/>
        <v>43396.226415094337</v>
      </c>
      <c r="P15" s="14" t="s">
        <v>44</v>
      </c>
      <c r="Q15" s="13" t="str">
        <f t="shared" si="3"/>
        <v>缺发票</v>
      </c>
    </row>
    <row r="16" spans="1:17" ht="16.5">
      <c r="A16" s="12">
        <v>46176</v>
      </c>
      <c r="B16" s="13" t="str">
        <f t="shared" si="0"/>
        <v>2026-06</v>
      </c>
      <c r="C16" s="14" t="s">
        <v>22</v>
      </c>
      <c r="D16" s="14" t="s">
        <v>54</v>
      </c>
      <c r="E16" s="14" t="s">
        <v>82</v>
      </c>
      <c r="F16" s="14" t="s">
        <v>56</v>
      </c>
      <c r="G16" s="14" t="s">
        <v>83</v>
      </c>
      <c r="H16" s="14" t="s">
        <v>84</v>
      </c>
      <c r="I16" s="14" t="s">
        <v>28</v>
      </c>
      <c r="J16" s="14" t="s">
        <v>29</v>
      </c>
      <c r="K16" s="14" t="s">
        <v>30</v>
      </c>
      <c r="L16" s="15">
        <v>560000</v>
      </c>
      <c r="M16" s="16">
        <v>0.06</v>
      </c>
      <c r="N16" s="17">
        <f t="shared" si="1"/>
        <v>31698.113207547169</v>
      </c>
      <c r="O16" s="17">
        <f t="shared" si="2"/>
        <v>528301.88679245277</v>
      </c>
      <c r="P16" s="14" t="s">
        <v>60</v>
      </c>
      <c r="Q16" s="13" t="str">
        <f t="shared" si="3"/>
        <v>正常</v>
      </c>
    </row>
    <row r="17" spans="1:17" ht="16.5">
      <c r="A17" s="12">
        <v>46185</v>
      </c>
      <c r="B17" s="13" t="str">
        <f t="shared" si="0"/>
        <v>2026-06</v>
      </c>
      <c r="C17" s="14" t="s">
        <v>32</v>
      </c>
      <c r="D17" s="14" t="s">
        <v>85</v>
      </c>
      <c r="E17" s="14" t="s">
        <v>65</v>
      </c>
      <c r="F17" s="14" t="s">
        <v>86</v>
      </c>
      <c r="G17" s="14" t="s">
        <v>87</v>
      </c>
      <c r="H17" s="14" t="s">
        <v>88</v>
      </c>
      <c r="I17" s="14" t="s">
        <v>38</v>
      </c>
      <c r="J17" s="14" t="s">
        <v>39</v>
      </c>
      <c r="K17" s="14" t="s">
        <v>30</v>
      </c>
      <c r="L17" s="15">
        <v>32000</v>
      </c>
      <c r="M17" s="16">
        <v>0.06</v>
      </c>
      <c r="N17" s="17">
        <f t="shared" si="1"/>
        <v>1811.3207547169811</v>
      </c>
      <c r="O17" s="17">
        <f t="shared" si="2"/>
        <v>30188.67924528302</v>
      </c>
      <c r="P17" s="14" t="s">
        <v>89</v>
      </c>
      <c r="Q17" s="13" t="str">
        <f t="shared" si="3"/>
        <v>正常</v>
      </c>
    </row>
    <row r="18" spans="1:17" ht="16.5">
      <c r="A18" s="12">
        <v>46205</v>
      </c>
      <c r="B18" s="13" t="str">
        <f t="shared" si="0"/>
        <v>2026-07</v>
      </c>
      <c r="C18" s="14" t="s">
        <v>22</v>
      </c>
      <c r="D18" s="14" t="s">
        <v>23</v>
      </c>
      <c r="E18" s="14" t="s">
        <v>24</v>
      </c>
      <c r="F18" s="14" t="s">
        <v>25</v>
      </c>
      <c r="G18" s="14" t="s">
        <v>90</v>
      </c>
      <c r="H18" s="14" t="s">
        <v>27</v>
      </c>
      <c r="I18" s="14" t="s">
        <v>28</v>
      </c>
      <c r="J18" s="14" t="s">
        <v>29</v>
      </c>
      <c r="K18" s="14" t="s">
        <v>30</v>
      </c>
      <c r="L18" s="15">
        <v>335000</v>
      </c>
      <c r="M18" s="16">
        <v>0.06</v>
      </c>
      <c r="N18" s="17">
        <f t="shared" si="1"/>
        <v>18962.264150943396</v>
      </c>
      <c r="O18" s="17">
        <f t="shared" si="2"/>
        <v>316037.73584905663</v>
      </c>
      <c r="P18" s="14" t="s">
        <v>31</v>
      </c>
      <c r="Q18" s="13" t="str">
        <f t="shared" si="3"/>
        <v>正常</v>
      </c>
    </row>
    <row r="19" spans="1:17" ht="16.5">
      <c r="A19" s="12">
        <v>46208</v>
      </c>
      <c r="B19" s="13" t="str">
        <f t="shared" si="0"/>
        <v>2026-07</v>
      </c>
      <c r="C19" s="14" t="s">
        <v>32</v>
      </c>
      <c r="D19" s="14" t="s">
        <v>23</v>
      </c>
      <c r="E19" s="14" t="s">
        <v>24</v>
      </c>
      <c r="F19" s="14" t="s">
        <v>41</v>
      </c>
      <c r="G19" s="14" t="s">
        <v>91</v>
      </c>
      <c r="H19" s="14" t="s">
        <v>43</v>
      </c>
      <c r="I19" s="14" t="s">
        <v>38</v>
      </c>
      <c r="J19" s="14" t="s">
        <v>39</v>
      </c>
      <c r="K19" s="14" t="s">
        <v>30</v>
      </c>
      <c r="L19" s="15">
        <v>108000</v>
      </c>
      <c r="M19" s="16">
        <v>0.13</v>
      </c>
      <c r="N19" s="17">
        <f t="shared" si="1"/>
        <v>12424.778761061949</v>
      </c>
      <c r="O19" s="17">
        <f t="shared" si="2"/>
        <v>95575.221238938044</v>
      </c>
      <c r="P19" s="14" t="s">
        <v>44</v>
      </c>
      <c r="Q19" s="13" t="str">
        <f t="shared" si="3"/>
        <v>正常</v>
      </c>
    </row>
    <row r="20" spans="1:17" ht="16.5">
      <c r="A20" s="12">
        <v>46211</v>
      </c>
      <c r="B20" s="13" t="str">
        <f t="shared" si="0"/>
        <v>2026-07</v>
      </c>
      <c r="C20" s="14" t="s">
        <v>32</v>
      </c>
      <c r="D20" s="14" t="s">
        <v>33</v>
      </c>
      <c r="E20" s="14" t="s">
        <v>34</v>
      </c>
      <c r="F20" s="14" t="s">
        <v>35</v>
      </c>
      <c r="G20" s="14" t="s">
        <v>92</v>
      </c>
      <c r="H20" s="14" t="s">
        <v>37</v>
      </c>
      <c r="I20" s="14" t="s">
        <v>38</v>
      </c>
      <c r="J20" s="14" t="s">
        <v>81</v>
      </c>
      <c r="K20" s="14" t="s">
        <v>30</v>
      </c>
      <c r="L20" s="15">
        <v>42000</v>
      </c>
      <c r="M20" s="16">
        <v>0.06</v>
      </c>
      <c r="N20" s="17">
        <f t="shared" si="1"/>
        <v>2377.3584905660377</v>
      </c>
      <c r="O20" s="17">
        <f t="shared" si="2"/>
        <v>39622.641509433961</v>
      </c>
      <c r="P20" s="14" t="s">
        <v>40</v>
      </c>
      <c r="Q20" s="13" t="str">
        <f t="shared" si="3"/>
        <v>正常</v>
      </c>
    </row>
    <row r="21" spans="1:17" ht="16.5">
      <c r="A21" s="12">
        <v>46214</v>
      </c>
      <c r="B21" s="13" t="str">
        <f t="shared" si="0"/>
        <v>2026-07</v>
      </c>
      <c r="C21" s="14" t="s">
        <v>32</v>
      </c>
      <c r="D21" s="14" t="s">
        <v>47</v>
      </c>
      <c r="E21" s="14" t="s">
        <v>48</v>
      </c>
      <c r="F21" s="14" t="s">
        <v>49</v>
      </c>
      <c r="G21" s="14" t="s">
        <v>93</v>
      </c>
      <c r="H21" s="14" t="s">
        <v>94</v>
      </c>
      <c r="I21" s="14" t="s">
        <v>80</v>
      </c>
      <c r="J21" s="14" t="s">
        <v>81</v>
      </c>
      <c r="K21" s="14" t="s">
        <v>30</v>
      </c>
      <c r="L21" s="15">
        <v>18000</v>
      </c>
      <c r="M21" s="16">
        <v>0.06</v>
      </c>
      <c r="N21" s="17">
        <f t="shared" si="1"/>
        <v>1018.8679245283018</v>
      </c>
      <c r="O21" s="17">
        <f t="shared" si="2"/>
        <v>16981.132075471698</v>
      </c>
      <c r="P21" s="14" t="s">
        <v>53</v>
      </c>
      <c r="Q21" s="13" t="str">
        <f t="shared" si="3"/>
        <v>缺发票</v>
      </c>
    </row>
    <row r="22" spans="1:17" ht="16.5">
      <c r="A22" s="12">
        <v>46218</v>
      </c>
      <c r="B22" s="13" t="str">
        <f t="shared" si="0"/>
        <v>2026-07</v>
      </c>
      <c r="C22" s="14" t="s">
        <v>22</v>
      </c>
      <c r="D22" s="14" t="s">
        <v>54</v>
      </c>
      <c r="E22" s="14" t="s">
        <v>82</v>
      </c>
      <c r="F22" s="14" t="s">
        <v>56</v>
      </c>
      <c r="G22" s="14" t="s">
        <v>95</v>
      </c>
      <c r="H22" s="14" t="s">
        <v>84</v>
      </c>
      <c r="I22" s="14" t="s">
        <v>96</v>
      </c>
      <c r="J22" s="14" t="s">
        <v>97</v>
      </c>
      <c r="K22" s="14" t="s">
        <v>30</v>
      </c>
      <c r="L22" s="15">
        <v>220000</v>
      </c>
      <c r="M22" s="16">
        <v>0.06</v>
      </c>
      <c r="N22" s="17">
        <f t="shared" si="1"/>
        <v>12452.830188679245</v>
      </c>
      <c r="O22" s="17">
        <f t="shared" si="2"/>
        <v>207547.16981132075</v>
      </c>
      <c r="P22" s="14" t="s">
        <v>60</v>
      </c>
      <c r="Q22" s="13" t="str">
        <f t="shared" si="3"/>
        <v>正常</v>
      </c>
    </row>
    <row r="23" spans="1:17" ht="16.5">
      <c r="A23" s="12"/>
      <c r="B23" s="13" t="str">
        <f t="shared" si="0"/>
        <v>1900-01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6"/>
      <c r="N23" s="17">
        <f t="shared" si="1"/>
        <v>0</v>
      </c>
      <c r="O23" s="17">
        <f t="shared" si="2"/>
        <v>0</v>
      </c>
      <c r="P23" s="14"/>
      <c r="Q23" s="13" t="str">
        <f t="shared" si="3"/>
        <v/>
      </c>
    </row>
    <row r="24" spans="1:17" ht="16.5">
      <c r="A24" s="12"/>
      <c r="B24" s="13" t="str">
        <f t="shared" si="0"/>
        <v>1900-01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6"/>
      <c r="N24" s="17">
        <f t="shared" si="1"/>
        <v>0</v>
      </c>
      <c r="O24" s="17">
        <f t="shared" si="2"/>
        <v>0</v>
      </c>
      <c r="P24" s="14"/>
      <c r="Q24" s="13" t="str">
        <f t="shared" si="3"/>
        <v/>
      </c>
    </row>
    <row r="25" spans="1:17" ht="16.5">
      <c r="A25" s="12"/>
      <c r="B25" s="13" t="str">
        <f t="shared" si="0"/>
        <v>1900-01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6"/>
      <c r="N25" s="17">
        <f t="shared" si="1"/>
        <v>0</v>
      </c>
      <c r="O25" s="17">
        <f t="shared" si="2"/>
        <v>0</v>
      </c>
      <c r="P25" s="14"/>
      <c r="Q25" s="13" t="str">
        <f t="shared" si="3"/>
        <v/>
      </c>
    </row>
    <row r="26" spans="1:17" ht="16.5">
      <c r="A26" s="12"/>
      <c r="B26" s="13" t="str">
        <f t="shared" si="0"/>
        <v>1900-01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6"/>
      <c r="N26" s="17">
        <f t="shared" si="1"/>
        <v>0</v>
      </c>
      <c r="O26" s="17">
        <f t="shared" si="2"/>
        <v>0</v>
      </c>
      <c r="P26" s="14"/>
      <c r="Q26" s="13" t="str">
        <f t="shared" si="3"/>
        <v/>
      </c>
    </row>
    <row r="27" spans="1:17" ht="16.5">
      <c r="A27" s="12"/>
      <c r="B27" s="13" t="str">
        <f t="shared" si="0"/>
        <v>1900-01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6"/>
      <c r="N27" s="17">
        <f t="shared" si="1"/>
        <v>0</v>
      </c>
      <c r="O27" s="17">
        <f t="shared" si="2"/>
        <v>0</v>
      </c>
      <c r="P27" s="14"/>
      <c r="Q27" s="13" t="str">
        <f t="shared" si="3"/>
        <v/>
      </c>
    </row>
    <row r="28" spans="1:17" ht="16.5">
      <c r="A28" s="12"/>
      <c r="B28" s="13" t="str">
        <f t="shared" si="0"/>
        <v>1900-01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6"/>
      <c r="N28" s="17">
        <f t="shared" si="1"/>
        <v>0</v>
      </c>
      <c r="O28" s="17">
        <f t="shared" si="2"/>
        <v>0</v>
      </c>
      <c r="P28" s="14"/>
      <c r="Q28" s="13" t="str">
        <f t="shared" si="3"/>
        <v/>
      </c>
    </row>
    <row r="29" spans="1:17" ht="16.5">
      <c r="A29" s="12"/>
      <c r="B29" s="13" t="str">
        <f t="shared" si="0"/>
        <v>1900-01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6"/>
      <c r="N29" s="17">
        <f t="shared" si="1"/>
        <v>0</v>
      </c>
      <c r="O29" s="17">
        <f t="shared" si="2"/>
        <v>0</v>
      </c>
      <c r="P29" s="14"/>
      <c r="Q29" s="13" t="str">
        <f t="shared" si="3"/>
        <v/>
      </c>
    </row>
    <row r="30" spans="1:17" ht="16.5">
      <c r="A30" s="12"/>
      <c r="B30" s="13" t="str">
        <f t="shared" si="0"/>
        <v>1900-01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  <c r="M30" s="16"/>
      <c r="N30" s="17">
        <f t="shared" si="1"/>
        <v>0</v>
      </c>
      <c r="O30" s="17">
        <f t="shared" si="2"/>
        <v>0</v>
      </c>
      <c r="P30" s="14"/>
      <c r="Q30" s="13" t="str">
        <f t="shared" si="3"/>
        <v/>
      </c>
    </row>
    <row r="31" spans="1:17" ht="16.5">
      <c r="A31" s="12"/>
      <c r="B31" s="13" t="str">
        <f t="shared" si="0"/>
        <v>1900-01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  <c r="M31" s="16"/>
      <c r="N31" s="17">
        <f t="shared" si="1"/>
        <v>0</v>
      </c>
      <c r="O31" s="17">
        <f t="shared" si="2"/>
        <v>0</v>
      </c>
      <c r="P31" s="14"/>
      <c r="Q31" s="13" t="str">
        <f t="shared" si="3"/>
        <v/>
      </c>
    </row>
    <row r="32" spans="1:17" ht="16.5">
      <c r="A32" s="12"/>
      <c r="B32" s="13" t="str">
        <f t="shared" si="0"/>
        <v>1900-01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16"/>
      <c r="N32" s="17">
        <f t="shared" si="1"/>
        <v>0</v>
      </c>
      <c r="O32" s="17">
        <f t="shared" si="2"/>
        <v>0</v>
      </c>
      <c r="P32" s="14"/>
      <c r="Q32" s="13" t="str">
        <f t="shared" si="3"/>
        <v/>
      </c>
    </row>
    <row r="33" spans="1:17" ht="16.5">
      <c r="A33" s="12"/>
      <c r="B33" s="13" t="str">
        <f t="shared" si="0"/>
        <v>1900-01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16"/>
      <c r="N33" s="17">
        <f t="shared" si="1"/>
        <v>0</v>
      </c>
      <c r="O33" s="17">
        <f t="shared" si="2"/>
        <v>0</v>
      </c>
      <c r="P33" s="14"/>
      <c r="Q33" s="13" t="str">
        <f t="shared" si="3"/>
        <v/>
      </c>
    </row>
    <row r="34" spans="1:17" ht="16.5">
      <c r="A34" s="12"/>
      <c r="B34" s="13" t="str">
        <f t="shared" si="0"/>
        <v>1900-01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  <c r="M34" s="16"/>
      <c r="N34" s="17">
        <f t="shared" si="1"/>
        <v>0</v>
      </c>
      <c r="O34" s="17">
        <f t="shared" si="2"/>
        <v>0</v>
      </c>
      <c r="P34" s="14"/>
      <c r="Q34" s="13" t="str">
        <f t="shared" si="3"/>
        <v/>
      </c>
    </row>
    <row r="35" spans="1:17" ht="16.5">
      <c r="A35" s="12"/>
      <c r="B35" s="13" t="str">
        <f t="shared" si="0"/>
        <v>1900-01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  <c r="M35" s="16"/>
      <c r="N35" s="17">
        <f t="shared" si="1"/>
        <v>0</v>
      </c>
      <c r="O35" s="17">
        <f t="shared" si="2"/>
        <v>0</v>
      </c>
      <c r="P35" s="14"/>
      <c r="Q35" s="13" t="str">
        <f t="shared" si="3"/>
        <v/>
      </c>
    </row>
    <row r="36" spans="1:17" ht="16.5">
      <c r="A36" s="12"/>
      <c r="B36" s="13" t="str">
        <f t="shared" si="0"/>
        <v>1900-01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  <c r="M36" s="16"/>
      <c r="N36" s="17">
        <f t="shared" si="1"/>
        <v>0</v>
      </c>
      <c r="O36" s="17">
        <f t="shared" si="2"/>
        <v>0</v>
      </c>
      <c r="P36" s="14"/>
      <c r="Q36" s="13" t="str">
        <f t="shared" si="3"/>
        <v/>
      </c>
    </row>
    <row r="37" spans="1:17" ht="16.5">
      <c r="A37" s="12"/>
      <c r="B37" s="13" t="str">
        <f t="shared" ref="B37:B68" si="4">TEXT(A37,"yyyy-mm")</f>
        <v>1900-01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  <c r="M37" s="16"/>
      <c r="N37" s="17">
        <f t="shared" ref="N37:N68" si="5">IFERROR(L37*M37/(1+M37),0)</f>
        <v>0</v>
      </c>
      <c r="O37" s="17">
        <f t="shared" ref="O37:O68" si="6">L37-N37</f>
        <v>0</v>
      </c>
      <c r="P37" s="14"/>
      <c r="Q37" s="13" t="str">
        <f t="shared" ref="Q37:Q68" si="7">IF(A37="","",IF(OR(L37&lt;=0,C37="",D37="",F37=""),"需检查",IF(AND(C37="支出",I37="未收票"),"缺发票","正常")))</f>
        <v/>
      </c>
    </row>
    <row r="38" spans="1:17" ht="16.5">
      <c r="A38" s="12"/>
      <c r="B38" s="13" t="str">
        <f t="shared" si="4"/>
        <v>1900-01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  <c r="M38" s="16"/>
      <c r="N38" s="17">
        <f t="shared" si="5"/>
        <v>0</v>
      </c>
      <c r="O38" s="17">
        <f t="shared" si="6"/>
        <v>0</v>
      </c>
      <c r="P38" s="14"/>
      <c r="Q38" s="13" t="str">
        <f t="shared" si="7"/>
        <v/>
      </c>
    </row>
    <row r="39" spans="1:17" ht="16.5">
      <c r="A39" s="12"/>
      <c r="B39" s="13" t="str">
        <f t="shared" si="4"/>
        <v>1900-01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  <c r="M39" s="16"/>
      <c r="N39" s="17">
        <f t="shared" si="5"/>
        <v>0</v>
      </c>
      <c r="O39" s="17">
        <f t="shared" si="6"/>
        <v>0</v>
      </c>
      <c r="P39" s="14"/>
      <c r="Q39" s="13" t="str">
        <f t="shared" si="7"/>
        <v/>
      </c>
    </row>
    <row r="40" spans="1:17" ht="16.5">
      <c r="A40" s="12"/>
      <c r="B40" s="13" t="str">
        <f t="shared" si="4"/>
        <v>1900-01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  <c r="M40" s="16"/>
      <c r="N40" s="17">
        <f t="shared" si="5"/>
        <v>0</v>
      </c>
      <c r="O40" s="17">
        <f t="shared" si="6"/>
        <v>0</v>
      </c>
      <c r="P40" s="14"/>
      <c r="Q40" s="13" t="str">
        <f t="shared" si="7"/>
        <v/>
      </c>
    </row>
    <row r="41" spans="1:17" ht="16.5">
      <c r="A41" s="12"/>
      <c r="B41" s="13" t="str">
        <f t="shared" si="4"/>
        <v>1900-01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6"/>
      <c r="N41" s="17">
        <f t="shared" si="5"/>
        <v>0</v>
      </c>
      <c r="O41" s="17">
        <f t="shared" si="6"/>
        <v>0</v>
      </c>
      <c r="P41" s="14"/>
      <c r="Q41" s="13" t="str">
        <f t="shared" si="7"/>
        <v/>
      </c>
    </row>
    <row r="42" spans="1:17" ht="16.5">
      <c r="A42" s="12"/>
      <c r="B42" s="13" t="str">
        <f t="shared" si="4"/>
        <v>1900-01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  <c r="M42" s="16"/>
      <c r="N42" s="17">
        <f t="shared" si="5"/>
        <v>0</v>
      </c>
      <c r="O42" s="17">
        <f t="shared" si="6"/>
        <v>0</v>
      </c>
      <c r="P42" s="14"/>
      <c r="Q42" s="13" t="str">
        <f t="shared" si="7"/>
        <v/>
      </c>
    </row>
    <row r="43" spans="1:17" ht="16.5">
      <c r="A43" s="12"/>
      <c r="B43" s="13" t="str">
        <f t="shared" si="4"/>
        <v>1900-01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  <c r="M43" s="16"/>
      <c r="N43" s="17">
        <f t="shared" si="5"/>
        <v>0</v>
      </c>
      <c r="O43" s="17">
        <f t="shared" si="6"/>
        <v>0</v>
      </c>
      <c r="P43" s="14"/>
      <c r="Q43" s="13" t="str">
        <f t="shared" si="7"/>
        <v/>
      </c>
    </row>
    <row r="44" spans="1:17" ht="16.5">
      <c r="A44" s="12"/>
      <c r="B44" s="13" t="str">
        <f t="shared" si="4"/>
        <v>1900-01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  <c r="M44" s="16"/>
      <c r="N44" s="17">
        <f t="shared" si="5"/>
        <v>0</v>
      </c>
      <c r="O44" s="17">
        <f t="shared" si="6"/>
        <v>0</v>
      </c>
      <c r="P44" s="14"/>
      <c r="Q44" s="13" t="str">
        <f t="shared" si="7"/>
        <v/>
      </c>
    </row>
    <row r="45" spans="1:17" ht="16.5">
      <c r="A45" s="12"/>
      <c r="B45" s="13" t="str">
        <f t="shared" si="4"/>
        <v>1900-01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6"/>
      <c r="N45" s="17">
        <f t="shared" si="5"/>
        <v>0</v>
      </c>
      <c r="O45" s="17">
        <f t="shared" si="6"/>
        <v>0</v>
      </c>
      <c r="P45" s="14"/>
      <c r="Q45" s="13" t="str">
        <f t="shared" si="7"/>
        <v/>
      </c>
    </row>
    <row r="46" spans="1:17" ht="16.5">
      <c r="A46" s="12"/>
      <c r="B46" s="13" t="str">
        <f t="shared" si="4"/>
        <v>1900-01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  <c r="M46" s="16"/>
      <c r="N46" s="17">
        <f t="shared" si="5"/>
        <v>0</v>
      </c>
      <c r="O46" s="17">
        <f t="shared" si="6"/>
        <v>0</v>
      </c>
      <c r="P46" s="14"/>
      <c r="Q46" s="13" t="str">
        <f t="shared" si="7"/>
        <v/>
      </c>
    </row>
    <row r="47" spans="1:17" ht="16.5">
      <c r="A47" s="12"/>
      <c r="B47" s="13" t="str">
        <f t="shared" si="4"/>
        <v>1900-01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  <c r="M47" s="16"/>
      <c r="N47" s="17">
        <f t="shared" si="5"/>
        <v>0</v>
      </c>
      <c r="O47" s="17">
        <f t="shared" si="6"/>
        <v>0</v>
      </c>
      <c r="P47" s="14"/>
      <c r="Q47" s="13" t="str">
        <f t="shared" si="7"/>
        <v/>
      </c>
    </row>
    <row r="48" spans="1:17" ht="16.5">
      <c r="A48" s="12"/>
      <c r="B48" s="13" t="str">
        <f t="shared" si="4"/>
        <v>1900-01</v>
      </c>
      <c r="C48" s="14"/>
      <c r="D48" s="14"/>
      <c r="E48" s="14"/>
      <c r="F48" s="14"/>
      <c r="G48" s="14"/>
      <c r="H48" s="14"/>
      <c r="I48" s="14"/>
      <c r="J48" s="14"/>
      <c r="K48" s="14"/>
      <c r="L48" s="15"/>
      <c r="M48" s="16"/>
      <c r="N48" s="17">
        <f t="shared" si="5"/>
        <v>0</v>
      </c>
      <c r="O48" s="17">
        <f t="shared" si="6"/>
        <v>0</v>
      </c>
      <c r="P48" s="14"/>
      <c r="Q48" s="13" t="str">
        <f t="shared" si="7"/>
        <v/>
      </c>
    </row>
    <row r="49" spans="1:17" ht="16.5">
      <c r="A49" s="12"/>
      <c r="B49" s="13" t="str">
        <f t="shared" si="4"/>
        <v>1900-01</v>
      </c>
      <c r="C49" s="14"/>
      <c r="D49" s="14"/>
      <c r="E49" s="14"/>
      <c r="F49" s="14"/>
      <c r="G49" s="14"/>
      <c r="H49" s="14"/>
      <c r="I49" s="14"/>
      <c r="J49" s="14"/>
      <c r="K49" s="14"/>
      <c r="L49" s="15"/>
      <c r="M49" s="16"/>
      <c r="N49" s="17">
        <f t="shared" si="5"/>
        <v>0</v>
      </c>
      <c r="O49" s="17">
        <f t="shared" si="6"/>
        <v>0</v>
      </c>
      <c r="P49" s="14"/>
      <c r="Q49" s="13" t="str">
        <f t="shared" si="7"/>
        <v/>
      </c>
    </row>
    <row r="50" spans="1:17" ht="16.5">
      <c r="A50" s="12"/>
      <c r="B50" s="13" t="str">
        <f t="shared" si="4"/>
        <v>1900-01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  <c r="M50" s="16"/>
      <c r="N50" s="17">
        <f t="shared" si="5"/>
        <v>0</v>
      </c>
      <c r="O50" s="17">
        <f t="shared" si="6"/>
        <v>0</v>
      </c>
      <c r="P50" s="14"/>
      <c r="Q50" s="13" t="str">
        <f t="shared" si="7"/>
        <v/>
      </c>
    </row>
    <row r="51" spans="1:17" ht="16.5">
      <c r="A51" s="12"/>
      <c r="B51" s="13" t="str">
        <f t="shared" si="4"/>
        <v>1900-01</v>
      </c>
      <c r="C51" s="14"/>
      <c r="D51" s="14"/>
      <c r="E51" s="14"/>
      <c r="F51" s="14"/>
      <c r="G51" s="14"/>
      <c r="H51" s="14"/>
      <c r="I51" s="14"/>
      <c r="J51" s="14"/>
      <c r="K51" s="14"/>
      <c r="L51" s="15"/>
      <c r="M51" s="16"/>
      <c r="N51" s="17">
        <f t="shared" si="5"/>
        <v>0</v>
      </c>
      <c r="O51" s="17">
        <f t="shared" si="6"/>
        <v>0</v>
      </c>
      <c r="P51" s="14"/>
      <c r="Q51" s="13" t="str">
        <f t="shared" si="7"/>
        <v/>
      </c>
    </row>
    <row r="52" spans="1:17" ht="16.5">
      <c r="A52" s="12"/>
      <c r="B52" s="13" t="str">
        <f t="shared" si="4"/>
        <v>1900-01</v>
      </c>
      <c r="C52" s="14"/>
      <c r="D52" s="14"/>
      <c r="E52" s="14"/>
      <c r="F52" s="14"/>
      <c r="G52" s="14"/>
      <c r="H52" s="14"/>
      <c r="I52" s="14"/>
      <c r="J52" s="14"/>
      <c r="K52" s="14"/>
      <c r="L52" s="15"/>
      <c r="M52" s="16"/>
      <c r="N52" s="17">
        <f t="shared" si="5"/>
        <v>0</v>
      </c>
      <c r="O52" s="17">
        <f t="shared" si="6"/>
        <v>0</v>
      </c>
      <c r="P52" s="14"/>
      <c r="Q52" s="13" t="str">
        <f t="shared" si="7"/>
        <v/>
      </c>
    </row>
    <row r="53" spans="1:17" ht="16.5">
      <c r="A53" s="12"/>
      <c r="B53" s="13" t="str">
        <f t="shared" si="4"/>
        <v>1900-01</v>
      </c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16"/>
      <c r="N53" s="17">
        <f t="shared" si="5"/>
        <v>0</v>
      </c>
      <c r="O53" s="17">
        <f t="shared" si="6"/>
        <v>0</v>
      </c>
      <c r="P53" s="14"/>
      <c r="Q53" s="13" t="str">
        <f t="shared" si="7"/>
        <v/>
      </c>
    </row>
    <row r="54" spans="1:17" ht="16.5">
      <c r="A54" s="12"/>
      <c r="B54" s="13" t="str">
        <f t="shared" si="4"/>
        <v>1900-01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  <c r="M54" s="16"/>
      <c r="N54" s="17">
        <f t="shared" si="5"/>
        <v>0</v>
      </c>
      <c r="O54" s="17">
        <f t="shared" si="6"/>
        <v>0</v>
      </c>
      <c r="P54" s="14"/>
      <c r="Q54" s="13" t="str">
        <f t="shared" si="7"/>
        <v/>
      </c>
    </row>
    <row r="55" spans="1:17" ht="16.5">
      <c r="A55" s="12"/>
      <c r="B55" s="13" t="str">
        <f t="shared" si="4"/>
        <v>1900-01</v>
      </c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16"/>
      <c r="N55" s="17">
        <f t="shared" si="5"/>
        <v>0</v>
      </c>
      <c r="O55" s="17">
        <f t="shared" si="6"/>
        <v>0</v>
      </c>
      <c r="P55" s="14"/>
      <c r="Q55" s="13" t="str">
        <f t="shared" si="7"/>
        <v/>
      </c>
    </row>
    <row r="56" spans="1:17" ht="16.5">
      <c r="A56" s="12"/>
      <c r="B56" s="13" t="str">
        <f t="shared" si="4"/>
        <v>1900-01</v>
      </c>
      <c r="C56" s="14"/>
      <c r="D56" s="14"/>
      <c r="E56" s="14"/>
      <c r="F56" s="14"/>
      <c r="G56" s="14"/>
      <c r="H56" s="14"/>
      <c r="I56" s="14"/>
      <c r="J56" s="14"/>
      <c r="K56" s="14"/>
      <c r="L56" s="15"/>
      <c r="M56" s="16"/>
      <c r="N56" s="17">
        <f t="shared" si="5"/>
        <v>0</v>
      </c>
      <c r="O56" s="17">
        <f t="shared" si="6"/>
        <v>0</v>
      </c>
      <c r="P56" s="14"/>
      <c r="Q56" s="13" t="str">
        <f t="shared" si="7"/>
        <v/>
      </c>
    </row>
    <row r="57" spans="1:17" ht="16.5">
      <c r="A57" s="12"/>
      <c r="B57" s="13" t="str">
        <f t="shared" si="4"/>
        <v>1900-01</v>
      </c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6"/>
      <c r="N57" s="17">
        <f t="shared" si="5"/>
        <v>0</v>
      </c>
      <c r="O57" s="17">
        <f t="shared" si="6"/>
        <v>0</v>
      </c>
      <c r="P57" s="14"/>
      <c r="Q57" s="13" t="str">
        <f t="shared" si="7"/>
        <v/>
      </c>
    </row>
    <row r="58" spans="1:17" ht="16.5">
      <c r="A58" s="12"/>
      <c r="B58" s="13" t="str">
        <f t="shared" si="4"/>
        <v>1900-01</v>
      </c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6"/>
      <c r="N58" s="17">
        <f t="shared" si="5"/>
        <v>0</v>
      </c>
      <c r="O58" s="17">
        <f t="shared" si="6"/>
        <v>0</v>
      </c>
      <c r="P58" s="14"/>
      <c r="Q58" s="13" t="str">
        <f t="shared" si="7"/>
        <v/>
      </c>
    </row>
    <row r="59" spans="1:17" ht="16.5">
      <c r="A59" s="12"/>
      <c r="B59" s="13" t="str">
        <f t="shared" si="4"/>
        <v>1900-01</v>
      </c>
      <c r="C59" s="14"/>
      <c r="D59" s="14"/>
      <c r="E59" s="14"/>
      <c r="F59" s="14"/>
      <c r="G59" s="14"/>
      <c r="H59" s="14"/>
      <c r="I59" s="14"/>
      <c r="J59" s="14"/>
      <c r="K59" s="14"/>
      <c r="L59" s="15"/>
      <c r="M59" s="16"/>
      <c r="N59" s="17">
        <f t="shared" si="5"/>
        <v>0</v>
      </c>
      <c r="O59" s="17">
        <f t="shared" si="6"/>
        <v>0</v>
      </c>
      <c r="P59" s="14"/>
      <c r="Q59" s="13" t="str">
        <f t="shared" si="7"/>
        <v/>
      </c>
    </row>
    <row r="60" spans="1:17" ht="16.5">
      <c r="A60" s="12"/>
      <c r="B60" s="13" t="str">
        <f t="shared" si="4"/>
        <v>1900-01</v>
      </c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6"/>
      <c r="N60" s="17">
        <f t="shared" si="5"/>
        <v>0</v>
      </c>
      <c r="O60" s="17">
        <f t="shared" si="6"/>
        <v>0</v>
      </c>
      <c r="P60" s="14"/>
      <c r="Q60" s="13" t="str">
        <f t="shared" si="7"/>
        <v/>
      </c>
    </row>
    <row r="61" spans="1:17" ht="16.5">
      <c r="A61" s="12"/>
      <c r="B61" s="13" t="str">
        <f t="shared" si="4"/>
        <v>1900-01</v>
      </c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16"/>
      <c r="N61" s="17">
        <f t="shared" si="5"/>
        <v>0</v>
      </c>
      <c r="O61" s="17">
        <f t="shared" si="6"/>
        <v>0</v>
      </c>
      <c r="P61" s="14"/>
      <c r="Q61" s="13" t="str">
        <f t="shared" si="7"/>
        <v/>
      </c>
    </row>
    <row r="62" spans="1:17" ht="16.5">
      <c r="A62" s="12"/>
      <c r="B62" s="13" t="str">
        <f t="shared" si="4"/>
        <v>1900-01</v>
      </c>
      <c r="C62" s="14"/>
      <c r="D62" s="14"/>
      <c r="E62" s="14"/>
      <c r="F62" s="14"/>
      <c r="G62" s="14"/>
      <c r="H62" s="14"/>
      <c r="I62" s="14"/>
      <c r="J62" s="14"/>
      <c r="K62" s="14"/>
      <c r="L62" s="15"/>
      <c r="M62" s="16"/>
      <c r="N62" s="17">
        <f t="shared" si="5"/>
        <v>0</v>
      </c>
      <c r="O62" s="17">
        <f t="shared" si="6"/>
        <v>0</v>
      </c>
      <c r="P62" s="14"/>
      <c r="Q62" s="13" t="str">
        <f t="shared" si="7"/>
        <v/>
      </c>
    </row>
    <row r="63" spans="1:17" ht="16.5">
      <c r="A63" s="12"/>
      <c r="B63" s="13" t="str">
        <f t="shared" si="4"/>
        <v>1900-01</v>
      </c>
      <c r="C63" s="14"/>
      <c r="D63" s="14"/>
      <c r="E63" s="14"/>
      <c r="F63" s="14"/>
      <c r="G63" s="14"/>
      <c r="H63" s="14"/>
      <c r="I63" s="14"/>
      <c r="J63" s="14"/>
      <c r="K63" s="14"/>
      <c r="L63" s="15"/>
      <c r="M63" s="16"/>
      <c r="N63" s="17">
        <f t="shared" si="5"/>
        <v>0</v>
      </c>
      <c r="O63" s="17">
        <f t="shared" si="6"/>
        <v>0</v>
      </c>
      <c r="P63" s="14"/>
      <c r="Q63" s="13" t="str">
        <f t="shared" si="7"/>
        <v/>
      </c>
    </row>
    <row r="64" spans="1:17" ht="16.5">
      <c r="A64" s="12"/>
      <c r="B64" s="13" t="str">
        <f t="shared" si="4"/>
        <v>1900-01</v>
      </c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6"/>
      <c r="N64" s="17">
        <f t="shared" si="5"/>
        <v>0</v>
      </c>
      <c r="O64" s="17">
        <f t="shared" si="6"/>
        <v>0</v>
      </c>
      <c r="P64" s="14"/>
      <c r="Q64" s="13" t="str">
        <f t="shared" si="7"/>
        <v/>
      </c>
    </row>
    <row r="65" spans="1:17" ht="16.5">
      <c r="A65" s="12"/>
      <c r="B65" s="13" t="str">
        <f t="shared" si="4"/>
        <v>1900-01</v>
      </c>
      <c r="C65" s="14"/>
      <c r="D65" s="14"/>
      <c r="E65" s="14"/>
      <c r="F65" s="14"/>
      <c r="G65" s="14"/>
      <c r="H65" s="14"/>
      <c r="I65" s="14"/>
      <c r="J65" s="14"/>
      <c r="K65" s="14"/>
      <c r="L65" s="15"/>
      <c r="M65" s="16"/>
      <c r="N65" s="17">
        <f t="shared" si="5"/>
        <v>0</v>
      </c>
      <c r="O65" s="17">
        <f t="shared" si="6"/>
        <v>0</v>
      </c>
      <c r="P65" s="14"/>
      <c r="Q65" s="13" t="str">
        <f t="shared" si="7"/>
        <v/>
      </c>
    </row>
    <row r="66" spans="1:17" ht="16.5">
      <c r="A66" s="12"/>
      <c r="B66" s="13" t="str">
        <f t="shared" si="4"/>
        <v>1900-01</v>
      </c>
      <c r="C66" s="14"/>
      <c r="D66" s="14"/>
      <c r="E66" s="14"/>
      <c r="F66" s="14"/>
      <c r="G66" s="14"/>
      <c r="H66" s="14"/>
      <c r="I66" s="14"/>
      <c r="J66" s="14"/>
      <c r="K66" s="14"/>
      <c r="L66" s="15"/>
      <c r="M66" s="16"/>
      <c r="N66" s="17">
        <f t="shared" si="5"/>
        <v>0</v>
      </c>
      <c r="O66" s="17">
        <f t="shared" si="6"/>
        <v>0</v>
      </c>
      <c r="P66" s="14"/>
      <c r="Q66" s="13" t="str">
        <f t="shared" si="7"/>
        <v/>
      </c>
    </row>
    <row r="67" spans="1:17" ht="16.5">
      <c r="A67" s="12"/>
      <c r="B67" s="13" t="str">
        <f t="shared" si="4"/>
        <v>1900-01</v>
      </c>
      <c r="C67" s="14"/>
      <c r="D67" s="14"/>
      <c r="E67" s="14"/>
      <c r="F67" s="14"/>
      <c r="G67" s="14"/>
      <c r="H67" s="14"/>
      <c r="I67" s="14"/>
      <c r="J67" s="14"/>
      <c r="K67" s="14"/>
      <c r="L67" s="15"/>
      <c r="M67" s="16"/>
      <c r="N67" s="17">
        <f t="shared" si="5"/>
        <v>0</v>
      </c>
      <c r="O67" s="17">
        <f t="shared" si="6"/>
        <v>0</v>
      </c>
      <c r="P67" s="14"/>
      <c r="Q67" s="13" t="str">
        <f t="shared" si="7"/>
        <v/>
      </c>
    </row>
    <row r="68" spans="1:17" ht="16.5">
      <c r="A68" s="12"/>
      <c r="B68" s="13" t="str">
        <f t="shared" si="4"/>
        <v>1900-01</v>
      </c>
      <c r="C68" s="14"/>
      <c r="D68" s="14"/>
      <c r="E68" s="14"/>
      <c r="F68" s="14"/>
      <c r="G68" s="14"/>
      <c r="H68" s="14"/>
      <c r="I68" s="14"/>
      <c r="J68" s="14"/>
      <c r="K68" s="14"/>
      <c r="L68" s="15"/>
      <c r="M68" s="16"/>
      <c r="N68" s="17">
        <f t="shared" si="5"/>
        <v>0</v>
      </c>
      <c r="O68" s="17">
        <f t="shared" si="6"/>
        <v>0</v>
      </c>
      <c r="P68" s="14"/>
      <c r="Q68" s="13" t="str">
        <f t="shared" si="7"/>
        <v/>
      </c>
    </row>
    <row r="69" spans="1:17" ht="16.5">
      <c r="A69" s="12"/>
      <c r="B69" s="13" t="str">
        <f t="shared" ref="B69:B100" si="8">TEXT(A69,"yyyy-mm")</f>
        <v>1900-01</v>
      </c>
      <c r="C69" s="14"/>
      <c r="D69" s="14"/>
      <c r="E69" s="14"/>
      <c r="F69" s="14"/>
      <c r="G69" s="14"/>
      <c r="H69" s="14"/>
      <c r="I69" s="14"/>
      <c r="J69" s="14"/>
      <c r="K69" s="14"/>
      <c r="L69" s="15"/>
      <c r="M69" s="16"/>
      <c r="N69" s="17">
        <f t="shared" ref="N69:N100" si="9">IFERROR(L69*M69/(1+M69),0)</f>
        <v>0</v>
      </c>
      <c r="O69" s="17">
        <f t="shared" ref="O69:O100" si="10">L69-N69</f>
        <v>0</v>
      </c>
      <c r="P69" s="14"/>
      <c r="Q69" s="13" t="str">
        <f t="shared" ref="Q69:Q100" si="11">IF(A69="","",IF(OR(L69&lt;=0,C69="",D69="",F69=""),"需检查",IF(AND(C69="支出",I69="未收票"),"缺发票","正常")))</f>
        <v/>
      </c>
    </row>
    <row r="70" spans="1:17" ht="16.5">
      <c r="A70" s="12"/>
      <c r="B70" s="13" t="str">
        <f t="shared" si="8"/>
        <v>1900-01</v>
      </c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16"/>
      <c r="N70" s="17">
        <f t="shared" si="9"/>
        <v>0</v>
      </c>
      <c r="O70" s="17">
        <f t="shared" si="10"/>
        <v>0</v>
      </c>
      <c r="P70" s="14"/>
      <c r="Q70" s="13" t="str">
        <f t="shared" si="11"/>
        <v/>
      </c>
    </row>
    <row r="71" spans="1:17" ht="16.5">
      <c r="A71" s="12"/>
      <c r="B71" s="13" t="str">
        <f t="shared" si="8"/>
        <v>1900-01</v>
      </c>
      <c r="C71" s="14"/>
      <c r="D71" s="14"/>
      <c r="E71" s="14"/>
      <c r="F71" s="14"/>
      <c r="G71" s="14"/>
      <c r="H71" s="14"/>
      <c r="I71" s="14"/>
      <c r="J71" s="14"/>
      <c r="K71" s="14"/>
      <c r="L71" s="15"/>
      <c r="M71" s="16"/>
      <c r="N71" s="17">
        <f t="shared" si="9"/>
        <v>0</v>
      </c>
      <c r="O71" s="17">
        <f t="shared" si="10"/>
        <v>0</v>
      </c>
      <c r="P71" s="14"/>
      <c r="Q71" s="13" t="str">
        <f t="shared" si="11"/>
        <v/>
      </c>
    </row>
    <row r="72" spans="1:17" ht="16.5">
      <c r="A72" s="12"/>
      <c r="B72" s="13" t="str">
        <f t="shared" si="8"/>
        <v>1900-01</v>
      </c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6"/>
      <c r="N72" s="17">
        <f t="shared" si="9"/>
        <v>0</v>
      </c>
      <c r="O72" s="17">
        <f t="shared" si="10"/>
        <v>0</v>
      </c>
      <c r="P72" s="14"/>
      <c r="Q72" s="13" t="str">
        <f t="shared" si="11"/>
        <v/>
      </c>
    </row>
    <row r="73" spans="1:17" ht="16.5">
      <c r="A73" s="12"/>
      <c r="B73" s="13" t="str">
        <f t="shared" si="8"/>
        <v>1900-01</v>
      </c>
      <c r="C73" s="14"/>
      <c r="D73" s="14"/>
      <c r="E73" s="14"/>
      <c r="F73" s="14"/>
      <c r="G73" s="14"/>
      <c r="H73" s="14"/>
      <c r="I73" s="14"/>
      <c r="J73" s="14"/>
      <c r="K73" s="14"/>
      <c r="L73" s="15"/>
      <c r="M73" s="16"/>
      <c r="N73" s="17">
        <f t="shared" si="9"/>
        <v>0</v>
      </c>
      <c r="O73" s="17">
        <f t="shared" si="10"/>
        <v>0</v>
      </c>
      <c r="P73" s="14"/>
      <c r="Q73" s="13" t="str">
        <f t="shared" si="11"/>
        <v/>
      </c>
    </row>
    <row r="74" spans="1:17" ht="16.5">
      <c r="A74" s="12"/>
      <c r="B74" s="13" t="str">
        <f t="shared" si="8"/>
        <v>1900-01</v>
      </c>
      <c r="C74" s="14"/>
      <c r="D74" s="14"/>
      <c r="E74" s="14"/>
      <c r="F74" s="14"/>
      <c r="G74" s="14"/>
      <c r="H74" s="14"/>
      <c r="I74" s="14"/>
      <c r="J74" s="14"/>
      <c r="K74" s="14"/>
      <c r="L74" s="15"/>
      <c r="M74" s="16"/>
      <c r="N74" s="17">
        <f t="shared" si="9"/>
        <v>0</v>
      </c>
      <c r="O74" s="17">
        <f t="shared" si="10"/>
        <v>0</v>
      </c>
      <c r="P74" s="14"/>
      <c r="Q74" s="13" t="str">
        <f t="shared" si="11"/>
        <v/>
      </c>
    </row>
    <row r="75" spans="1:17" ht="16.5">
      <c r="A75" s="12"/>
      <c r="B75" s="13" t="str">
        <f t="shared" si="8"/>
        <v>1900-01</v>
      </c>
      <c r="C75" s="14"/>
      <c r="D75" s="14"/>
      <c r="E75" s="14"/>
      <c r="F75" s="14"/>
      <c r="G75" s="14"/>
      <c r="H75" s="14"/>
      <c r="I75" s="14"/>
      <c r="J75" s="14"/>
      <c r="K75" s="14"/>
      <c r="L75" s="15"/>
      <c r="M75" s="16"/>
      <c r="N75" s="17">
        <f t="shared" si="9"/>
        <v>0</v>
      </c>
      <c r="O75" s="17">
        <f t="shared" si="10"/>
        <v>0</v>
      </c>
      <c r="P75" s="14"/>
      <c r="Q75" s="13" t="str">
        <f t="shared" si="11"/>
        <v/>
      </c>
    </row>
    <row r="76" spans="1:17" ht="16.5">
      <c r="A76" s="12"/>
      <c r="B76" s="13" t="str">
        <f t="shared" si="8"/>
        <v>1900-01</v>
      </c>
      <c r="C76" s="14"/>
      <c r="D76" s="14"/>
      <c r="E76" s="14"/>
      <c r="F76" s="14"/>
      <c r="G76" s="14"/>
      <c r="H76" s="14"/>
      <c r="I76" s="14"/>
      <c r="J76" s="14"/>
      <c r="K76" s="14"/>
      <c r="L76" s="15"/>
      <c r="M76" s="16"/>
      <c r="N76" s="17">
        <f t="shared" si="9"/>
        <v>0</v>
      </c>
      <c r="O76" s="17">
        <f t="shared" si="10"/>
        <v>0</v>
      </c>
      <c r="P76" s="14"/>
      <c r="Q76" s="13" t="str">
        <f t="shared" si="11"/>
        <v/>
      </c>
    </row>
    <row r="77" spans="1:17" ht="16.5">
      <c r="A77" s="12"/>
      <c r="B77" s="13" t="str">
        <f t="shared" si="8"/>
        <v>1900-01</v>
      </c>
      <c r="C77" s="14"/>
      <c r="D77" s="14"/>
      <c r="E77" s="14"/>
      <c r="F77" s="14"/>
      <c r="G77" s="14"/>
      <c r="H77" s="14"/>
      <c r="I77" s="14"/>
      <c r="J77" s="14"/>
      <c r="K77" s="14"/>
      <c r="L77" s="15"/>
      <c r="M77" s="16"/>
      <c r="N77" s="17">
        <f t="shared" si="9"/>
        <v>0</v>
      </c>
      <c r="O77" s="17">
        <f t="shared" si="10"/>
        <v>0</v>
      </c>
      <c r="P77" s="14"/>
      <c r="Q77" s="13" t="str">
        <f t="shared" si="11"/>
        <v/>
      </c>
    </row>
    <row r="78" spans="1:17" ht="16.5">
      <c r="A78" s="12"/>
      <c r="B78" s="13" t="str">
        <f t="shared" si="8"/>
        <v>1900-01</v>
      </c>
      <c r="C78" s="14"/>
      <c r="D78" s="14"/>
      <c r="E78" s="14"/>
      <c r="F78" s="14"/>
      <c r="G78" s="14"/>
      <c r="H78" s="14"/>
      <c r="I78" s="14"/>
      <c r="J78" s="14"/>
      <c r="K78" s="14"/>
      <c r="L78" s="15"/>
      <c r="M78" s="16"/>
      <c r="N78" s="17">
        <f t="shared" si="9"/>
        <v>0</v>
      </c>
      <c r="O78" s="17">
        <f t="shared" si="10"/>
        <v>0</v>
      </c>
      <c r="P78" s="14"/>
      <c r="Q78" s="13" t="str">
        <f t="shared" si="11"/>
        <v/>
      </c>
    </row>
    <row r="79" spans="1:17" ht="16.5">
      <c r="A79" s="12"/>
      <c r="B79" s="13" t="str">
        <f t="shared" si="8"/>
        <v>1900-01</v>
      </c>
      <c r="C79" s="14"/>
      <c r="D79" s="14"/>
      <c r="E79" s="14"/>
      <c r="F79" s="14"/>
      <c r="G79" s="14"/>
      <c r="H79" s="14"/>
      <c r="I79" s="14"/>
      <c r="J79" s="14"/>
      <c r="K79" s="14"/>
      <c r="L79" s="15"/>
      <c r="M79" s="16"/>
      <c r="N79" s="17">
        <f t="shared" si="9"/>
        <v>0</v>
      </c>
      <c r="O79" s="17">
        <f t="shared" si="10"/>
        <v>0</v>
      </c>
      <c r="P79" s="14"/>
      <c r="Q79" s="13" t="str">
        <f t="shared" si="11"/>
        <v/>
      </c>
    </row>
    <row r="80" spans="1:17" ht="16.5">
      <c r="A80" s="12"/>
      <c r="B80" s="13" t="str">
        <f t="shared" si="8"/>
        <v>1900-01</v>
      </c>
      <c r="C80" s="14"/>
      <c r="D80" s="14"/>
      <c r="E80" s="14"/>
      <c r="F80" s="14"/>
      <c r="G80" s="14"/>
      <c r="H80" s="14"/>
      <c r="I80" s="14"/>
      <c r="J80" s="14"/>
      <c r="K80" s="14"/>
      <c r="L80" s="15"/>
      <c r="M80" s="16"/>
      <c r="N80" s="17">
        <f t="shared" si="9"/>
        <v>0</v>
      </c>
      <c r="O80" s="17">
        <f t="shared" si="10"/>
        <v>0</v>
      </c>
      <c r="P80" s="14"/>
      <c r="Q80" s="13" t="str">
        <f t="shared" si="11"/>
        <v/>
      </c>
    </row>
    <row r="81" spans="1:17" ht="16.5">
      <c r="A81" s="12"/>
      <c r="B81" s="13" t="str">
        <f t="shared" si="8"/>
        <v>1900-01</v>
      </c>
      <c r="C81" s="14"/>
      <c r="D81" s="14"/>
      <c r="E81" s="14"/>
      <c r="F81" s="14"/>
      <c r="G81" s="14"/>
      <c r="H81" s="14"/>
      <c r="I81" s="14"/>
      <c r="J81" s="14"/>
      <c r="K81" s="14"/>
      <c r="L81" s="15"/>
      <c r="M81" s="16"/>
      <c r="N81" s="17">
        <f t="shared" si="9"/>
        <v>0</v>
      </c>
      <c r="O81" s="17">
        <f t="shared" si="10"/>
        <v>0</v>
      </c>
      <c r="P81" s="14"/>
      <c r="Q81" s="13" t="str">
        <f t="shared" si="11"/>
        <v/>
      </c>
    </row>
    <row r="82" spans="1:17" ht="16.5">
      <c r="A82" s="12"/>
      <c r="B82" s="13" t="str">
        <f t="shared" si="8"/>
        <v>1900-01</v>
      </c>
      <c r="C82" s="14"/>
      <c r="D82" s="14"/>
      <c r="E82" s="14"/>
      <c r="F82" s="14"/>
      <c r="G82" s="14"/>
      <c r="H82" s="14"/>
      <c r="I82" s="14"/>
      <c r="J82" s="14"/>
      <c r="K82" s="14"/>
      <c r="L82" s="15"/>
      <c r="M82" s="16"/>
      <c r="N82" s="17">
        <f t="shared" si="9"/>
        <v>0</v>
      </c>
      <c r="O82" s="17">
        <f t="shared" si="10"/>
        <v>0</v>
      </c>
      <c r="P82" s="14"/>
      <c r="Q82" s="13" t="str">
        <f t="shared" si="11"/>
        <v/>
      </c>
    </row>
    <row r="83" spans="1:17" ht="16.5">
      <c r="A83" s="12"/>
      <c r="B83" s="13" t="str">
        <f t="shared" si="8"/>
        <v>1900-01</v>
      </c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16"/>
      <c r="N83" s="17">
        <f t="shared" si="9"/>
        <v>0</v>
      </c>
      <c r="O83" s="17">
        <f t="shared" si="10"/>
        <v>0</v>
      </c>
      <c r="P83" s="14"/>
      <c r="Q83" s="13" t="str">
        <f t="shared" si="11"/>
        <v/>
      </c>
    </row>
    <row r="84" spans="1:17" ht="16.5">
      <c r="A84" s="12"/>
      <c r="B84" s="13" t="str">
        <f t="shared" si="8"/>
        <v>1900-01</v>
      </c>
      <c r="C84" s="14"/>
      <c r="D84" s="14"/>
      <c r="E84" s="14"/>
      <c r="F84" s="14"/>
      <c r="G84" s="14"/>
      <c r="H84" s="14"/>
      <c r="I84" s="14"/>
      <c r="J84" s="14"/>
      <c r="K84" s="14"/>
      <c r="L84" s="15"/>
      <c r="M84" s="16"/>
      <c r="N84" s="17">
        <f t="shared" si="9"/>
        <v>0</v>
      </c>
      <c r="O84" s="17">
        <f t="shared" si="10"/>
        <v>0</v>
      </c>
      <c r="P84" s="14"/>
      <c r="Q84" s="13" t="str">
        <f t="shared" si="11"/>
        <v/>
      </c>
    </row>
    <row r="85" spans="1:17" ht="16.5">
      <c r="A85" s="12"/>
      <c r="B85" s="13" t="str">
        <f t="shared" si="8"/>
        <v>1900-01</v>
      </c>
      <c r="C85" s="14"/>
      <c r="D85" s="14"/>
      <c r="E85" s="14"/>
      <c r="F85" s="14"/>
      <c r="G85" s="14"/>
      <c r="H85" s="14"/>
      <c r="I85" s="14"/>
      <c r="J85" s="14"/>
      <c r="K85" s="14"/>
      <c r="L85" s="15"/>
      <c r="M85" s="16"/>
      <c r="N85" s="17">
        <f t="shared" si="9"/>
        <v>0</v>
      </c>
      <c r="O85" s="17">
        <f t="shared" si="10"/>
        <v>0</v>
      </c>
      <c r="P85" s="14"/>
      <c r="Q85" s="13" t="str">
        <f t="shared" si="11"/>
        <v/>
      </c>
    </row>
    <row r="86" spans="1:17" ht="16.5">
      <c r="A86" s="12"/>
      <c r="B86" s="13" t="str">
        <f t="shared" si="8"/>
        <v>1900-01</v>
      </c>
      <c r="C86" s="14"/>
      <c r="D86" s="14"/>
      <c r="E86" s="14"/>
      <c r="F86" s="14"/>
      <c r="G86" s="14"/>
      <c r="H86" s="14"/>
      <c r="I86" s="14"/>
      <c r="J86" s="14"/>
      <c r="K86" s="14"/>
      <c r="L86" s="15"/>
      <c r="M86" s="16"/>
      <c r="N86" s="17">
        <f t="shared" si="9"/>
        <v>0</v>
      </c>
      <c r="O86" s="17">
        <f t="shared" si="10"/>
        <v>0</v>
      </c>
      <c r="P86" s="14"/>
      <c r="Q86" s="13" t="str">
        <f t="shared" si="11"/>
        <v/>
      </c>
    </row>
    <row r="87" spans="1:17" ht="16.5">
      <c r="A87" s="12"/>
      <c r="B87" s="13" t="str">
        <f t="shared" si="8"/>
        <v>1900-01</v>
      </c>
      <c r="C87" s="14"/>
      <c r="D87" s="14"/>
      <c r="E87" s="14"/>
      <c r="F87" s="14"/>
      <c r="G87" s="14"/>
      <c r="H87" s="14"/>
      <c r="I87" s="14"/>
      <c r="J87" s="14"/>
      <c r="K87" s="14"/>
      <c r="L87" s="15"/>
      <c r="M87" s="16"/>
      <c r="N87" s="17">
        <f t="shared" si="9"/>
        <v>0</v>
      </c>
      <c r="O87" s="17">
        <f t="shared" si="10"/>
        <v>0</v>
      </c>
      <c r="P87" s="14"/>
      <c r="Q87" s="13" t="str">
        <f t="shared" si="11"/>
        <v/>
      </c>
    </row>
    <row r="88" spans="1:17" ht="16.5">
      <c r="A88" s="12"/>
      <c r="B88" s="13" t="str">
        <f t="shared" si="8"/>
        <v>1900-01</v>
      </c>
      <c r="C88" s="14"/>
      <c r="D88" s="14"/>
      <c r="E88" s="14"/>
      <c r="F88" s="14"/>
      <c r="G88" s="14"/>
      <c r="H88" s="14"/>
      <c r="I88" s="14"/>
      <c r="J88" s="14"/>
      <c r="K88" s="14"/>
      <c r="L88" s="15"/>
      <c r="M88" s="16"/>
      <c r="N88" s="17">
        <f t="shared" si="9"/>
        <v>0</v>
      </c>
      <c r="O88" s="17">
        <f t="shared" si="10"/>
        <v>0</v>
      </c>
      <c r="P88" s="14"/>
      <c r="Q88" s="13" t="str">
        <f t="shared" si="11"/>
        <v/>
      </c>
    </row>
    <row r="89" spans="1:17" ht="16.5">
      <c r="A89" s="12"/>
      <c r="B89" s="13" t="str">
        <f t="shared" si="8"/>
        <v>1900-01</v>
      </c>
      <c r="C89" s="14"/>
      <c r="D89" s="14"/>
      <c r="E89" s="14"/>
      <c r="F89" s="14"/>
      <c r="G89" s="14"/>
      <c r="H89" s="14"/>
      <c r="I89" s="14"/>
      <c r="J89" s="14"/>
      <c r="K89" s="14"/>
      <c r="L89" s="15"/>
      <c r="M89" s="16"/>
      <c r="N89" s="17">
        <f t="shared" si="9"/>
        <v>0</v>
      </c>
      <c r="O89" s="17">
        <f t="shared" si="10"/>
        <v>0</v>
      </c>
      <c r="P89" s="14"/>
      <c r="Q89" s="13" t="str">
        <f t="shared" si="11"/>
        <v/>
      </c>
    </row>
    <row r="90" spans="1:17" ht="16.5">
      <c r="A90" s="12"/>
      <c r="B90" s="13" t="str">
        <f t="shared" si="8"/>
        <v>1900-01</v>
      </c>
      <c r="C90" s="14"/>
      <c r="D90" s="14"/>
      <c r="E90" s="14"/>
      <c r="F90" s="14"/>
      <c r="G90" s="14"/>
      <c r="H90" s="14"/>
      <c r="I90" s="14"/>
      <c r="J90" s="14"/>
      <c r="K90" s="14"/>
      <c r="L90" s="15"/>
      <c r="M90" s="16"/>
      <c r="N90" s="17">
        <f t="shared" si="9"/>
        <v>0</v>
      </c>
      <c r="O90" s="17">
        <f t="shared" si="10"/>
        <v>0</v>
      </c>
      <c r="P90" s="14"/>
      <c r="Q90" s="13" t="str">
        <f t="shared" si="11"/>
        <v/>
      </c>
    </row>
    <row r="91" spans="1:17" ht="16.5">
      <c r="A91" s="12"/>
      <c r="B91" s="13" t="str">
        <f t="shared" si="8"/>
        <v>1900-01</v>
      </c>
      <c r="C91" s="14"/>
      <c r="D91" s="14"/>
      <c r="E91" s="14"/>
      <c r="F91" s="14"/>
      <c r="G91" s="14"/>
      <c r="H91" s="14"/>
      <c r="I91" s="14"/>
      <c r="J91" s="14"/>
      <c r="K91" s="14"/>
      <c r="L91" s="15"/>
      <c r="M91" s="16"/>
      <c r="N91" s="17">
        <f t="shared" si="9"/>
        <v>0</v>
      </c>
      <c r="O91" s="17">
        <f t="shared" si="10"/>
        <v>0</v>
      </c>
      <c r="P91" s="14"/>
      <c r="Q91" s="13" t="str">
        <f t="shared" si="11"/>
        <v/>
      </c>
    </row>
    <row r="92" spans="1:17" ht="16.5">
      <c r="A92" s="12"/>
      <c r="B92" s="13" t="str">
        <f t="shared" si="8"/>
        <v>1900-01</v>
      </c>
      <c r="C92" s="14"/>
      <c r="D92" s="14"/>
      <c r="E92" s="14"/>
      <c r="F92" s="14"/>
      <c r="G92" s="14"/>
      <c r="H92" s="14"/>
      <c r="I92" s="14"/>
      <c r="J92" s="14"/>
      <c r="K92" s="14"/>
      <c r="L92" s="15"/>
      <c r="M92" s="16"/>
      <c r="N92" s="17">
        <f t="shared" si="9"/>
        <v>0</v>
      </c>
      <c r="O92" s="17">
        <f t="shared" si="10"/>
        <v>0</v>
      </c>
      <c r="P92" s="14"/>
      <c r="Q92" s="13" t="str">
        <f t="shared" si="11"/>
        <v/>
      </c>
    </row>
    <row r="93" spans="1:17" ht="16.5">
      <c r="A93" s="12"/>
      <c r="B93" s="13" t="str">
        <f t="shared" si="8"/>
        <v>1900-01</v>
      </c>
      <c r="C93" s="14"/>
      <c r="D93" s="14"/>
      <c r="E93" s="14"/>
      <c r="F93" s="14"/>
      <c r="G93" s="14"/>
      <c r="H93" s="14"/>
      <c r="I93" s="14"/>
      <c r="J93" s="14"/>
      <c r="K93" s="14"/>
      <c r="L93" s="15"/>
      <c r="M93" s="16"/>
      <c r="N93" s="17">
        <f t="shared" si="9"/>
        <v>0</v>
      </c>
      <c r="O93" s="17">
        <f t="shared" si="10"/>
        <v>0</v>
      </c>
      <c r="P93" s="14"/>
      <c r="Q93" s="13" t="str">
        <f t="shared" si="11"/>
        <v/>
      </c>
    </row>
    <row r="94" spans="1:17" ht="16.5">
      <c r="A94" s="12"/>
      <c r="B94" s="13" t="str">
        <f t="shared" si="8"/>
        <v>1900-01</v>
      </c>
      <c r="C94" s="14"/>
      <c r="D94" s="14"/>
      <c r="E94" s="14"/>
      <c r="F94" s="14"/>
      <c r="G94" s="14"/>
      <c r="H94" s="14"/>
      <c r="I94" s="14"/>
      <c r="J94" s="14"/>
      <c r="K94" s="14"/>
      <c r="L94" s="15"/>
      <c r="M94" s="16"/>
      <c r="N94" s="17">
        <f t="shared" si="9"/>
        <v>0</v>
      </c>
      <c r="O94" s="17">
        <f t="shared" si="10"/>
        <v>0</v>
      </c>
      <c r="P94" s="14"/>
      <c r="Q94" s="13" t="str">
        <f t="shared" si="11"/>
        <v/>
      </c>
    </row>
    <row r="95" spans="1:17" ht="16.5">
      <c r="A95" s="12"/>
      <c r="B95" s="13" t="str">
        <f t="shared" si="8"/>
        <v>1900-01</v>
      </c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16"/>
      <c r="N95" s="17">
        <f t="shared" si="9"/>
        <v>0</v>
      </c>
      <c r="O95" s="17">
        <f t="shared" si="10"/>
        <v>0</v>
      </c>
      <c r="P95" s="14"/>
      <c r="Q95" s="13" t="str">
        <f t="shared" si="11"/>
        <v/>
      </c>
    </row>
    <row r="96" spans="1:17" ht="16.5">
      <c r="A96" s="12"/>
      <c r="B96" s="13" t="str">
        <f t="shared" si="8"/>
        <v>1900-01</v>
      </c>
      <c r="C96" s="14"/>
      <c r="D96" s="14"/>
      <c r="E96" s="14"/>
      <c r="F96" s="14"/>
      <c r="G96" s="14"/>
      <c r="H96" s="14"/>
      <c r="I96" s="14"/>
      <c r="J96" s="14"/>
      <c r="K96" s="14"/>
      <c r="L96" s="15"/>
      <c r="M96" s="16"/>
      <c r="N96" s="17">
        <f t="shared" si="9"/>
        <v>0</v>
      </c>
      <c r="O96" s="17">
        <f t="shared" si="10"/>
        <v>0</v>
      </c>
      <c r="P96" s="14"/>
      <c r="Q96" s="13" t="str">
        <f t="shared" si="11"/>
        <v/>
      </c>
    </row>
    <row r="97" spans="1:17" ht="16.5">
      <c r="A97" s="12"/>
      <c r="B97" s="13" t="str">
        <f t="shared" si="8"/>
        <v>1900-01</v>
      </c>
      <c r="C97" s="14"/>
      <c r="D97" s="14"/>
      <c r="E97" s="14"/>
      <c r="F97" s="14"/>
      <c r="G97" s="14"/>
      <c r="H97" s="14"/>
      <c r="I97" s="14"/>
      <c r="J97" s="14"/>
      <c r="K97" s="14"/>
      <c r="L97" s="15"/>
      <c r="M97" s="16"/>
      <c r="N97" s="17">
        <f t="shared" si="9"/>
        <v>0</v>
      </c>
      <c r="O97" s="17">
        <f t="shared" si="10"/>
        <v>0</v>
      </c>
      <c r="P97" s="14"/>
      <c r="Q97" s="13" t="str">
        <f t="shared" si="11"/>
        <v/>
      </c>
    </row>
    <row r="98" spans="1:17" ht="16.5">
      <c r="A98" s="12"/>
      <c r="B98" s="13" t="str">
        <f t="shared" si="8"/>
        <v>1900-01</v>
      </c>
      <c r="C98" s="14"/>
      <c r="D98" s="14"/>
      <c r="E98" s="14"/>
      <c r="F98" s="14"/>
      <c r="G98" s="14"/>
      <c r="H98" s="14"/>
      <c r="I98" s="14"/>
      <c r="J98" s="14"/>
      <c r="K98" s="14"/>
      <c r="L98" s="15"/>
      <c r="M98" s="16"/>
      <c r="N98" s="17">
        <f t="shared" si="9"/>
        <v>0</v>
      </c>
      <c r="O98" s="17">
        <f t="shared" si="10"/>
        <v>0</v>
      </c>
      <c r="P98" s="14"/>
      <c r="Q98" s="13" t="str">
        <f t="shared" si="11"/>
        <v/>
      </c>
    </row>
    <row r="99" spans="1:17" ht="16.5">
      <c r="A99" s="12"/>
      <c r="B99" s="13" t="str">
        <f t="shared" si="8"/>
        <v>1900-01</v>
      </c>
      <c r="C99" s="14"/>
      <c r="D99" s="14"/>
      <c r="E99" s="14"/>
      <c r="F99" s="14"/>
      <c r="G99" s="14"/>
      <c r="H99" s="14"/>
      <c r="I99" s="14"/>
      <c r="J99" s="14"/>
      <c r="K99" s="14"/>
      <c r="L99" s="15"/>
      <c r="M99" s="16"/>
      <c r="N99" s="17">
        <f t="shared" si="9"/>
        <v>0</v>
      </c>
      <c r="O99" s="17">
        <f t="shared" si="10"/>
        <v>0</v>
      </c>
      <c r="P99" s="14"/>
      <c r="Q99" s="13" t="str">
        <f t="shared" si="11"/>
        <v/>
      </c>
    </row>
    <row r="100" spans="1:17" ht="16.5">
      <c r="A100" s="12"/>
      <c r="B100" s="13" t="str">
        <f t="shared" si="8"/>
        <v>1900-01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5"/>
      <c r="M100" s="16"/>
      <c r="N100" s="17">
        <f t="shared" si="9"/>
        <v>0</v>
      </c>
      <c r="O100" s="17">
        <f t="shared" si="10"/>
        <v>0</v>
      </c>
      <c r="P100" s="14"/>
      <c r="Q100" s="13" t="str">
        <f t="shared" si="11"/>
        <v/>
      </c>
    </row>
    <row r="101" spans="1:17" ht="16.5">
      <c r="A101" s="12"/>
      <c r="B101" s="13" t="str">
        <f t="shared" ref="B101:B132" si="12">TEXT(A101,"yyyy-mm")</f>
        <v>1900-01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5"/>
      <c r="M101" s="16"/>
      <c r="N101" s="17">
        <f t="shared" ref="N101:N132" si="13">IFERROR(L101*M101/(1+M101),0)</f>
        <v>0</v>
      </c>
      <c r="O101" s="17">
        <f t="shared" ref="O101:O132" si="14">L101-N101</f>
        <v>0</v>
      </c>
      <c r="P101" s="14"/>
      <c r="Q101" s="13" t="str">
        <f t="shared" ref="Q101:Q132" si="15">IF(A101="","",IF(OR(L101&lt;=0,C101="",D101="",F101=""),"需检查",IF(AND(C101="支出",I101="未收票"),"缺发票","正常")))</f>
        <v/>
      </c>
    </row>
    <row r="102" spans="1:17" ht="16.5">
      <c r="A102" s="12"/>
      <c r="B102" s="13" t="str">
        <f t="shared" si="12"/>
        <v>1900-01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5"/>
      <c r="M102" s="16"/>
      <c r="N102" s="17">
        <f t="shared" si="13"/>
        <v>0</v>
      </c>
      <c r="O102" s="17">
        <f t="shared" si="14"/>
        <v>0</v>
      </c>
      <c r="P102" s="14"/>
      <c r="Q102" s="13" t="str">
        <f t="shared" si="15"/>
        <v/>
      </c>
    </row>
    <row r="103" spans="1:17" ht="16.5">
      <c r="A103" s="12"/>
      <c r="B103" s="13" t="str">
        <f t="shared" si="12"/>
        <v>1900-01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5"/>
      <c r="M103" s="16"/>
      <c r="N103" s="17">
        <f t="shared" si="13"/>
        <v>0</v>
      </c>
      <c r="O103" s="17">
        <f t="shared" si="14"/>
        <v>0</v>
      </c>
      <c r="P103" s="14"/>
      <c r="Q103" s="13" t="str">
        <f t="shared" si="15"/>
        <v/>
      </c>
    </row>
    <row r="104" spans="1:17" ht="16.5">
      <c r="A104" s="12"/>
      <c r="B104" s="13" t="str">
        <f t="shared" si="12"/>
        <v>1900-01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5"/>
      <c r="M104" s="16"/>
      <c r="N104" s="17">
        <f t="shared" si="13"/>
        <v>0</v>
      </c>
      <c r="O104" s="17">
        <f t="shared" si="14"/>
        <v>0</v>
      </c>
      <c r="P104" s="14"/>
      <c r="Q104" s="13" t="str">
        <f t="shared" si="15"/>
        <v/>
      </c>
    </row>
    <row r="105" spans="1:17" ht="16.5">
      <c r="A105" s="12"/>
      <c r="B105" s="13" t="str">
        <f t="shared" si="12"/>
        <v>1900-01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5"/>
      <c r="M105" s="16"/>
      <c r="N105" s="17">
        <f t="shared" si="13"/>
        <v>0</v>
      </c>
      <c r="O105" s="17">
        <f t="shared" si="14"/>
        <v>0</v>
      </c>
      <c r="P105" s="14"/>
      <c r="Q105" s="13" t="str">
        <f t="shared" si="15"/>
        <v/>
      </c>
    </row>
    <row r="106" spans="1:17" ht="16.5">
      <c r="A106" s="12"/>
      <c r="B106" s="13" t="str">
        <f t="shared" si="12"/>
        <v>1900-01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5"/>
      <c r="M106" s="16"/>
      <c r="N106" s="17">
        <f t="shared" si="13"/>
        <v>0</v>
      </c>
      <c r="O106" s="17">
        <f t="shared" si="14"/>
        <v>0</v>
      </c>
      <c r="P106" s="14"/>
      <c r="Q106" s="13" t="str">
        <f t="shared" si="15"/>
        <v/>
      </c>
    </row>
    <row r="107" spans="1:17" ht="16.5">
      <c r="A107" s="12"/>
      <c r="B107" s="13" t="str">
        <f t="shared" si="12"/>
        <v>1900-01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5"/>
      <c r="M107" s="16"/>
      <c r="N107" s="17">
        <f t="shared" si="13"/>
        <v>0</v>
      </c>
      <c r="O107" s="17">
        <f t="shared" si="14"/>
        <v>0</v>
      </c>
      <c r="P107" s="14"/>
      <c r="Q107" s="13" t="str">
        <f t="shared" si="15"/>
        <v/>
      </c>
    </row>
    <row r="108" spans="1:17" ht="16.5">
      <c r="A108" s="12"/>
      <c r="B108" s="13" t="str">
        <f t="shared" si="12"/>
        <v>1900-01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5"/>
      <c r="M108" s="16"/>
      <c r="N108" s="17">
        <f t="shared" si="13"/>
        <v>0</v>
      </c>
      <c r="O108" s="17">
        <f t="shared" si="14"/>
        <v>0</v>
      </c>
      <c r="P108" s="14"/>
      <c r="Q108" s="13" t="str">
        <f t="shared" si="15"/>
        <v/>
      </c>
    </row>
    <row r="109" spans="1:17" ht="16.5">
      <c r="A109" s="12"/>
      <c r="B109" s="13" t="str">
        <f t="shared" si="12"/>
        <v>1900-01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5"/>
      <c r="M109" s="16"/>
      <c r="N109" s="17">
        <f t="shared" si="13"/>
        <v>0</v>
      </c>
      <c r="O109" s="17">
        <f t="shared" si="14"/>
        <v>0</v>
      </c>
      <c r="P109" s="14"/>
      <c r="Q109" s="13" t="str">
        <f t="shared" si="15"/>
        <v/>
      </c>
    </row>
    <row r="110" spans="1:17" ht="16.5">
      <c r="A110" s="12"/>
      <c r="B110" s="13" t="str">
        <f t="shared" si="12"/>
        <v>1900-01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5"/>
      <c r="M110" s="16"/>
      <c r="N110" s="17">
        <f t="shared" si="13"/>
        <v>0</v>
      </c>
      <c r="O110" s="17">
        <f t="shared" si="14"/>
        <v>0</v>
      </c>
      <c r="P110" s="14"/>
      <c r="Q110" s="13" t="str">
        <f t="shared" si="15"/>
        <v/>
      </c>
    </row>
    <row r="111" spans="1:17" ht="16.5">
      <c r="A111" s="12"/>
      <c r="B111" s="13" t="str">
        <f t="shared" si="12"/>
        <v>1900-01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5"/>
      <c r="M111" s="16"/>
      <c r="N111" s="17">
        <f t="shared" si="13"/>
        <v>0</v>
      </c>
      <c r="O111" s="17">
        <f t="shared" si="14"/>
        <v>0</v>
      </c>
      <c r="P111" s="14"/>
      <c r="Q111" s="13" t="str">
        <f t="shared" si="15"/>
        <v/>
      </c>
    </row>
    <row r="112" spans="1:17" ht="16.5">
      <c r="A112" s="12"/>
      <c r="B112" s="13" t="str">
        <f t="shared" si="12"/>
        <v>1900-01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5"/>
      <c r="M112" s="16"/>
      <c r="N112" s="17">
        <f t="shared" si="13"/>
        <v>0</v>
      </c>
      <c r="O112" s="17">
        <f t="shared" si="14"/>
        <v>0</v>
      </c>
      <c r="P112" s="14"/>
      <c r="Q112" s="13" t="str">
        <f t="shared" si="15"/>
        <v/>
      </c>
    </row>
    <row r="113" spans="1:17" ht="16.5">
      <c r="A113" s="12"/>
      <c r="B113" s="13" t="str">
        <f t="shared" si="12"/>
        <v>1900-01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5"/>
      <c r="M113" s="16"/>
      <c r="N113" s="17">
        <f t="shared" si="13"/>
        <v>0</v>
      </c>
      <c r="O113" s="17">
        <f t="shared" si="14"/>
        <v>0</v>
      </c>
      <c r="P113" s="14"/>
      <c r="Q113" s="13" t="str">
        <f t="shared" si="15"/>
        <v/>
      </c>
    </row>
    <row r="114" spans="1:17" ht="16.5">
      <c r="A114" s="12"/>
      <c r="B114" s="13" t="str">
        <f t="shared" si="12"/>
        <v>1900-01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5"/>
      <c r="M114" s="16"/>
      <c r="N114" s="17">
        <f t="shared" si="13"/>
        <v>0</v>
      </c>
      <c r="O114" s="17">
        <f t="shared" si="14"/>
        <v>0</v>
      </c>
      <c r="P114" s="14"/>
      <c r="Q114" s="13" t="str">
        <f t="shared" si="15"/>
        <v/>
      </c>
    </row>
    <row r="115" spans="1:17" ht="16.5">
      <c r="A115" s="12"/>
      <c r="B115" s="13" t="str">
        <f t="shared" si="12"/>
        <v>1900-01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5"/>
      <c r="M115" s="16"/>
      <c r="N115" s="17">
        <f t="shared" si="13"/>
        <v>0</v>
      </c>
      <c r="O115" s="17">
        <f t="shared" si="14"/>
        <v>0</v>
      </c>
      <c r="P115" s="14"/>
      <c r="Q115" s="13" t="str">
        <f t="shared" si="15"/>
        <v/>
      </c>
    </row>
    <row r="116" spans="1:17" ht="16.5">
      <c r="A116" s="12"/>
      <c r="B116" s="13" t="str">
        <f t="shared" si="12"/>
        <v>1900-01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5"/>
      <c r="M116" s="16"/>
      <c r="N116" s="17">
        <f t="shared" si="13"/>
        <v>0</v>
      </c>
      <c r="O116" s="17">
        <f t="shared" si="14"/>
        <v>0</v>
      </c>
      <c r="P116" s="14"/>
      <c r="Q116" s="13" t="str">
        <f t="shared" si="15"/>
        <v/>
      </c>
    </row>
    <row r="117" spans="1:17" ht="16.5">
      <c r="A117" s="12"/>
      <c r="B117" s="13" t="str">
        <f t="shared" si="12"/>
        <v>1900-01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5"/>
      <c r="M117" s="16"/>
      <c r="N117" s="17">
        <f t="shared" si="13"/>
        <v>0</v>
      </c>
      <c r="O117" s="17">
        <f t="shared" si="14"/>
        <v>0</v>
      </c>
      <c r="P117" s="14"/>
      <c r="Q117" s="13" t="str">
        <f t="shared" si="15"/>
        <v/>
      </c>
    </row>
    <row r="118" spans="1:17" ht="16.5">
      <c r="A118" s="12"/>
      <c r="B118" s="13" t="str">
        <f t="shared" si="12"/>
        <v>1900-01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5"/>
      <c r="M118" s="16"/>
      <c r="N118" s="17">
        <f t="shared" si="13"/>
        <v>0</v>
      </c>
      <c r="O118" s="17">
        <f t="shared" si="14"/>
        <v>0</v>
      </c>
      <c r="P118" s="14"/>
      <c r="Q118" s="13" t="str">
        <f t="shared" si="15"/>
        <v/>
      </c>
    </row>
    <row r="119" spans="1:17" ht="16.5">
      <c r="A119" s="12"/>
      <c r="B119" s="13" t="str">
        <f t="shared" si="12"/>
        <v>1900-01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5"/>
      <c r="M119" s="16"/>
      <c r="N119" s="17">
        <f t="shared" si="13"/>
        <v>0</v>
      </c>
      <c r="O119" s="17">
        <f t="shared" si="14"/>
        <v>0</v>
      </c>
      <c r="P119" s="14"/>
      <c r="Q119" s="13" t="str">
        <f t="shared" si="15"/>
        <v/>
      </c>
    </row>
    <row r="120" spans="1:17" ht="16.5">
      <c r="A120" s="12"/>
      <c r="B120" s="13" t="str">
        <f t="shared" si="12"/>
        <v>1900-01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5"/>
      <c r="M120" s="16"/>
      <c r="N120" s="17">
        <f t="shared" si="13"/>
        <v>0</v>
      </c>
      <c r="O120" s="17">
        <f t="shared" si="14"/>
        <v>0</v>
      </c>
      <c r="P120" s="14"/>
      <c r="Q120" s="13" t="str">
        <f t="shared" si="15"/>
        <v/>
      </c>
    </row>
    <row r="121" spans="1:17" ht="16.5">
      <c r="A121" s="12"/>
      <c r="B121" s="13" t="str">
        <f t="shared" si="12"/>
        <v>1900-01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5"/>
      <c r="M121" s="16"/>
      <c r="N121" s="17">
        <f t="shared" si="13"/>
        <v>0</v>
      </c>
      <c r="O121" s="17">
        <f t="shared" si="14"/>
        <v>0</v>
      </c>
      <c r="P121" s="14"/>
      <c r="Q121" s="13" t="str">
        <f t="shared" si="15"/>
        <v/>
      </c>
    </row>
    <row r="122" spans="1:17" ht="16.5">
      <c r="A122" s="12"/>
      <c r="B122" s="13" t="str">
        <f t="shared" si="12"/>
        <v>1900-01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5"/>
      <c r="M122" s="16"/>
      <c r="N122" s="17">
        <f t="shared" si="13"/>
        <v>0</v>
      </c>
      <c r="O122" s="17">
        <f t="shared" si="14"/>
        <v>0</v>
      </c>
      <c r="P122" s="14"/>
      <c r="Q122" s="13" t="str">
        <f t="shared" si="15"/>
        <v/>
      </c>
    </row>
    <row r="123" spans="1:17" ht="16.5">
      <c r="A123" s="12"/>
      <c r="B123" s="13" t="str">
        <f t="shared" si="12"/>
        <v>1900-01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5"/>
      <c r="M123" s="16"/>
      <c r="N123" s="17">
        <f t="shared" si="13"/>
        <v>0</v>
      </c>
      <c r="O123" s="17">
        <f t="shared" si="14"/>
        <v>0</v>
      </c>
      <c r="P123" s="14"/>
      <c r="Q123" s="13" t="str">
        <f t="shared" si="15"/>
        <v/>
      </c>
    </row>
    <row r="124" spans="1:17" ht="16.5">
      <c r="A124" s="12"/>
      <c r="B124" s="13" t="str">
        <f t="shared" si="12"/>
        <v>1900-01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5"/>
      <c r="M124" s="16"/>
      <c r="N124" s="17">
        <f t="shared" si="13"/>
        <v>0</v>
      </c>
      <c r="O124" s="17">
        <f t="shared" si="14"/>
        <v>0</v>
      </c>
      <c r="P124" s="14"/>
      <c r="Q124" s="13" t="str">
        <f t="shared" si="15"/>
        <v/>
      </c>
    </row>
    <row r="125" spans="1:17" ht="16.5">
      <c r="A125" s="12"/>
      <c r="B125" s="13" t="str">
        <f t="shared" si="12"/>
        <v>1900-01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5"/>
      <c r="M125" s="16"/>
      <c r="N125" s="17">
        <f t="shared" si="13"/>
        <v>0</v>
      </c>
      <c r="O125" s="17">
        <f t="shared" si="14"/>
        <v>0</v>
      </c>
      <c r="P125" s="14"/>
      <c r="Q125" s="13" t="str">
        <f t="shared" si="15"/>
        <v/>
      </c>
    </row>
    <row r="126" spans="1:17" ht="16.5">
      <c r="A126" s="12"/>
      <c r="B126" s="13" t="str">
        <f t="shared" si="12"/>
        <v>1900-01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5"/>
      <c r="M126" s="16"/>
      <c r="N126" s="17">
        <f t="shared" si="13"/>
        <v>0</v>
      </c>
      <c r="O126" s="17">
        <f t="shared" si="14"/>
        <v>0</v>
      </c>
      <c r="P126" s="14"/>
      <c r="Q126" s="13" t="str">
        <f t="shared" si="15"/>
        <v/>
      </c>
    </row>
    <row r="127" spans="1:17" ht="16.5">
      <c r="A127" s="12"/>
      <c r="B127" s="13" t="str">
        <f t="shared" si="12"/>
        <v>1900-01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5"/>
      <c r="M127" s="16"/>
      <c r="N127" s="17">
        <f t="shared" si="13"/>
        <v>0</v>
      </c>
      <c r="O127" s="17">
        <f t="shared" si="14"/>
        <v>0</v>
      </c>
      <c r="P127" s="14"/>
      <c r="Q127" s="13" t="str">
        <f t="shared" si="15"/>
        <v/>
      </c>
    </row>
    <row r="128" spans="1:17" ht="16.5">
      <c r="A128" s="12"/>
      <c r="B128" s="13" t="str">
        <f t="shared" si="12"/>
        <v>1900-01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5"/>
      <c r="M128" s="16"/>
      <c r="N128" s="17">
        <f t="shared" si="13"/>
        <v>0</v>
      </c>
      <c r="O128" s="17">
        <f t="shared" si="14"/>
        <v>0</v>
      </c>
      <c r="P128" s="14"/>
      <c r="Q128" s="13" t="str">
        <f t="shared" si="15"/>
        <v/>
      </c>
    </row>
    <row r="129" spans="1:17" ht="16.5">
      <c r="A129" s="12"/>
      <c r="B129" s="13" t="str">
        <f t="shared" si="12"/>
        <v>1900-01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5"/>
      <c r="M129" s="16"/>
      <c r="N129" s="17">
        <f t="shared" si="13"/>
        <v>0</v>
      </c>
      <c r="O129" s="17">
        <f t="shared" si="14"/>
        <v>0</v>
      </c>
      <c r="P129" s="14"/>
      <c r="Q129" s="13" t="str">
        <f t="shared" si="15"/>
        <v/>
      </c>
    </row>
    <row r="130" spans="1:17" ht="16.5">
      <c r="A130" s="12"/>
      <c r="B130" s="13" t="str">
        <f t="shared" si="12"/>
        <v>1900-01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5"/>
      <c r="M130" s="16"/>
      <c r="N130" s="17">
        <f t="shared" si="13"/>
        <v>0</v>
      </c>
      <c r="O130" s="17">
        <f t="shared" si="14"/>
        <v>0</v>
      </c>
      <c r="P130" s="14"/>
      <c r="Q130" s="13" t="str">
        <f t="shared" si="15"/>
        <v/>
      </c>
    </row>
    <row r="131" spans="1:17" ht="16.5">
      <c r="A131" s="12"/>
      <c r="B131" s="13" t="str">
        <f t="shared" si="12"/>
        <v>1900-01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5"/>
      <c r="M131" s="16"/>
      <c r="N131" s="17">
        <f t="shared" si="13"/>
        <v>0</v>
      </c>
      <c r="O131" s="17">
        <f t="shared" si="14"/>
        <v>0</v>
      </c>
      <c r="P131" s="14"/>
      <c r="Q131" s="13" t="str">
        <f t="shared" si="15"/>
        <v/>
      </c>
    </row>
    <row r="132" spans="1:17" ht="16.5">
      <c r="A132" s="12"/>
      <c r="B132" s="13" t="str">
        <f t="shared" si="12"/>
        <v>1900-01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5"/>
      <c r="M132" s="16"/>
      <c r="N132" s="17">
        <f t="shared" si="13"/>
        <v>0</v>
      </c>
      <c r="O132" s="17">
        <f t="shared" si="14"/>
        <v>0</v>
      </c>
      <c r="P132" s="14"/>
      <c r="Q132" s="13" t="str">
        <f t="shared" si="15"/>
        <v/>
      </c>
    </row>
    <row r="133" spans="1:17" ht="16.5">
      <c r="A133" s="12"/>
      <c r="B133" s="13" t="str">
        <f t="shared" ref="B133:B164" si="16">TEXT(A133,"yyyy-mm")</f>
        <v>1900-01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5"/>
      <c r="M133" s="16"/>
      <c r="N133" s="17">
        <f t="shared" ref="N133:N164" si="17">IFERROR(L133*M133/(1+M133),0)</f>
        <v>0</v>
      </c>
      <c r="O133" s="17">
        <f t="shared" ref="O133:O164" si="18">L133-N133</f>
        <v>0</v>
      </c>
      <c r="P133" s="14"/>
      <c r="Q133" s="13" t="str">
        <f t="shared" ref="Q133:Q164" si="19">IF(A133="","",IF(OR(L133&lt;=0,C133="",D133="",F133=""),"需检查",IF(AND(C133="支出",I133="未收票"),"缺发票","正常")))</f>
        <v/>
      </c>
    </row>
    <row r="134" spans="1:17" ht="16.5">
      <c r="A134" s="12"/>
      <c r="B134" s="13" t="str">
        <f t="shared" si="16"/>
        <v>1900-01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5"/>
      <c r="M134" s="16"/>
      <c r="N134" s="17">
        <f t="shared" si="17"/>
        <v>0</v>
      </c>
      <c r="O134" s="17">
        <f t="shared" si="18"/>
        <v>0</v>
      </c>
      <c r="P134" s="14"/>
      <c r="Q134" s="13" t="str">
        <f t="shared" si="19"/>
        <v/>
      </c>
    </row>
    <row r="135" spans="1:17" ht="16.5">
      <c r="A135" s="12"/>
      <c r="B135" s="13" t="str">
        <f t="shared" si="16"/>
        <v>1900-01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5"/>
      <c r="M135" s="16"/>
      <c r="N135" s="17">
        <f t="shared" si="17"/>
        <v>0</v>
      </c>
      <c r="O135" s="17">
        <f t="shared" si="18"/>
        <v>0</v>
      </c>
      <c r="P135" s="14"/>
      <c r="Q135" s="13" t="str">
        <f t="shared" si="19"/>
        <v/>
      </c>
    </row>
    <row r="136" spans="1:17" ht="16.5">
      <c r="A136" s="12"/>
      <c r="B136" s="13" t="str">
        <f t="shared" si="16"/>
        <v>1900-01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5"/>
      <c r="M136" s="16"/>
      <c r="N136" s="17">
        <f t="shared" si="17"/>
        <v>0</v>
      </c>
      <c r="O136" s="17">
        <f t="shared" si="18"/>
        <v>0</v>
      </c>
      <c r="P136" s="14"/>
      <c r="Q136" s="13" t="str">
        <f t="shared" si="19"/>
        <v/>
      </c>
    </row>
    <row r="137" spans="1:17" ht="16.5">
      <c r="A137" s="12"/>
      <c r="B137" s="13" t="str">
        <f t="shared" si="16"/>
        <v>1900-01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5"/>
      <c r="M137" s="16"/>
      <c r="N137" s="17">
        <f t="shared" si="17"/>
        <v>0</v>
      </c>
      <c r="O137" s="17">
        <f t="shared" si="18"/>
        <v>0</v>
      </c>
      <c r="P137" s="14"/>
      <c r="Q137" s="13" t="str">
        <f t="shared" si="19"/>
        <v/>
      </c>
    </row>
    <row r="138" spans="1:17" ht="16.5">
      <c r="A138" s="12"/>
      <c r="B138" s="13" t="str">
        <f t="shared" si="16"/>
        <v>1900-01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5"/>
      <c r="M138" s="16"/>
      <c r="N138" s="17">
        <f t="shared" si="17"/>
        <v>0</v>
      </c>
      <c r="O138" s="17">
        <f t="shared" si="18"/>
        <v>0</v>
      </c>
      <c r="P138" s="14"/>
      <c r="Q138" s="13" t="str">
        <f t="shared" si="19"/>
        <v/>
      </c>
    </row>
    <row r="139" spans="1:17" ht="16.5">
      <c r="A139" s="12"/>
      <c r="B139" s="13" t="str">
        <f t="shared" si="16"/>
        <v>1900-01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5"/>
      <c r="M139" s="16"/>
      <c r="N139" s="17">
        <f t="shared" si="17"/>
        <v>0</v>
      </c>
      <c r="O139" s="17">
        <f t="shared" si="18"/>
        <v>0</v>
      </c>
      <c r="P139" s="14"/>
      <c r="Q139" s="13" t="str">
        <f t="shared" si="19"/>
        <v/>
      </c>
    </row>
    <row r="140" spans="1:17" ht="16.5">
      <c r="A140" s="12"/>
      <c r="B140" s="13" t="str">
        <f t="shared" si="16"/>
        <v>1900-01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5"/>
      <c r="M140" s="16"/>
      <c r="N140" s="17">
        <f t="shared" si="17"/>
        <v>0</v>
      </c>
      <c r="O140" s="17">
        <f t="shared" si="18"/>
        <v>0</v>
      </c>
      <c r="P140" s="14"/>
      <c r="Q140" s="13" t="str">
        <f t="shared" si="19"/>
        <v/>
      </c>
    </row>
    <row r="141" spans="1:17" ht="16.5">
      <c r="A141" s="12"/>
      <c r="B141" s="13" t="str">
        <f t="shared" si="16"/>
        <v>1900-01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5"/>
      <c r="M141" s="16"/>
      <c r="N141" s="17">
        <f t="shared" si="17"/>
        <v>0</v>
      </c>
      <c r="O141" s="17">
        <f t="shared" si="18"/>
        <v>0</v>
      </c>
      <c r="P141" s="14"/>
      <c r="Q141" s="13" t="str">
        <f t="shared" si="19"/>
        <v/>
      </c>
    </row>
    <row r="142" spans="1:17" ht="16.5">
      <c r="A142" s="12"/>
      <c r="B142" s="13" t="str">
        <f t="shared" si="16"/>
        <v>1900-01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5"/>
      <c r="M142" s="16"/>
      <c r="N142" s="17">
        <f t="shared" si="17"/>
        <v>0</v>
      </c>
      <c r="O142" s="17">
        <f t="shared" si="18"/>
        <v>0</v>
      </c>
      <c r="P142" s="14"/>
      <c r="Q142" s="13" t="str">
        <f t="shared" si="19"/>
        <v/>
      </c>
    </row>
    <row r="143" spans="1:17" ht="16.5">
      <c r="A143" s="12"/>
      <c r="B143" s="13" t="str">
        <f t="shared" si="16"/>
        <v>1900-01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5"/>
      <c r="M143" s="16"/>
      <c r="N143" s="17">
        <f t="shared" si="17"/>
        <v>0</v>
      </c>
      <c r="O143" s="17">
        <f t="shared" si="18"/>
        <v>0</v>
      </c>
      <c r="P143" s="14"/>
      <c r="Q143" s="13" t="str">
        <f t="shared" si="19"/>
        <v/>
      </c>
    </row>
    <row r="144" spans="1:17" ht="16.5">
      <c r="A144" s="12"/>
      <c r="B144" s="13" t="str">
        <f t="shared" si="16"/>
        <v>1900-01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5"/>
      <c r="M144" s="16"/>
      <c r="N144" s="17">
        <f t="shared" si="17"/>
        <v>0</v>
      </c>
      <c r="O144" s="17">
        <f t="shared" si="18"/>
        <v>0</v>
      </c>
      <c r="P144" s="14"/>
      <c r="Q144" s="13" t="str">
        <f t="shared" si="19"/>
        <v/>
      </c>
    </row>
    <row r="145" spans="1:17" ht="16.5">
      <c r="A145" s="12"/>
      <c r="B145" s="13" t="str">
        <f t="shared" si="16"/>
        <v>1900-01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5"/>
      <c r="M145" s="16"/>
      <c r="N145" s="17">
        <f t="shared" si="17"/>
        <v>0</v>
      </c>
      <c r="O145" s="17">
        <f t="shared" si="18"/>
        <v>0</v>
      </c>
      <c r="P145" s="14"/>
      <c r="Q145" s="13" t="str">
        <f t="shared" si="19"/>
        <v/>
      </c>
    </row>
    <row r="146" spans="1:17" ht="16.5">
      <c r="A146" s="12"/>
      <c r="B146" s="13" t="str">
        <f t="shared" si="16"/>
        <v>1900-01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5"/>
      <c r="M146" s="16"/>
      <c r="N146" s="17">
        <f t="shared" si="17"/>
        <v>0</v>
      </c>
      <c r="O146" s="17">
        <f t="shared" si="18"/>
        <v>0</v>
      </c>
      <c r="P146" s="14"/>
      <c r="Q146" s="13" t="str">
        <f t="shared" si="19"/>
        <v/>
      </c>
    </row>
    <row r="147" spans="1:17" ht="16.5">
      <c r="A147" s="12"/>
      <c r="B147" s="13" t="str">
        <f t="shared" si="16"/>
        <v>1900-01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5"/>
      <c r="M147" s="16"/>
      <c r="N147" s="17">
        <f t="shared" si="17"/>
        <v>0</v>
      </c>
      <c r="O147" s="17">
        <f t="shared" si="18"/>
        <v>0</v>
      </c>
      <c r="P147" s="14"/>
      <c r="Q147" s="13" t="str">
        <f t="shared" si="19"/>
        <v/>
      </c>
    </row>
    <row r="148" spans="1:17" ht="16.5">
      <c r="A148" s="12"/>
      <c r="B148" s="13" t="str">
        <f t="shared" si="16"/>
        <v>1900-01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5"/>
      <c r="M148" s="16"/>
      <c r="N148" s="17">
        <f t="shared" si="17"/>
        <v>0</v>
      </c>
      <c r="O148" s="17">
        <f t="shared" si="18"/>
        <v>0</v>
      </c>
      <c r="P148" s="14"/>
      <c r="Q148" s="13" t="str">
        <f t="shared" si="19"/>
        <v/>
      </c>
    </row>
    <row r="149" spans="1:17" ht="16.5">
      <c r="A149" s="12"/>
      <c r="B149" s="13" t="str">
        <f t="shared" si="16"/>
        <v>1900-01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5"/>
      <c r="M149" s="16"/>
      <c r="N149" s="17">
        <f t="shared" si="17"/>
        <v>0</v>
      </c>
      <c r="O149" s="17">
        <f t="shared" si="18"/>
        <v>0</v>
      </c>
      <c r="P149" s="14"/>
      <c r="Q149" s="13" t="str">
        <f t="shared" si="19"/>
        <v/>
      </c>
    </row>
    <row r="150" spans="1:17" ht="16.5">
      <c r="A150" s="12"/>
      <c r="B150" s="13" t="str">
        <f t="shared" si="16"/>
        <v>1900-01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5"/>
      <c r="M150" s="16"/>
      <c r="N150" s="17">
        <f t="shared" si="17"/>
        <v>0</v>
      </c>
      <c r="O150" s="17">
        <f t="shared" si="18"/>
        <v>0</v>
      </c>
      <c r="P150" s="14"/>
      <c r="Q150" s="13" t="str">
        <f t="shared" si="19"/>
        <v/>
      </c>
    </row>
    <row r="151" spans="1:17" ht="16.5">
      <c r="A151" s="12"/>
      <c r="B151" s="13" t="str">
        <f t="shared" si="16"/>
        <v>1900-01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5"/>
      <c r="M151" s="16"/>
      <c r="N151" s="17">
        <f t="shared" si="17"/>
        <v>0</v>
      </c>
      <c r="O151" s="17">
        <f t="shared" si="18"/>
        <v>0</v>
      </c>
      <c r="P151" s="14"/>
      <c r="Q151" s="13" t="str">
        <f t="shared" si="19"/>
        <v/>
      </c>
    </row>
    <row r="152" spans="1:17" ht="16.5">
      <c r="A152" s="12"/>
      <c r="B152" s="13" t="str">
        <f t="shared" si="16"/>
        <v>1900-01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5"/>
      <c r="M152" s="16"/>
      <c r="N152" s="17">
        <f t="shared" si="17"/>
        <v>0</v>
      </c>
      <c r="O152" s="17">
        <f t="shared" si="18"/>
        <v>0</v>
      </c>
      <c r="P152" s="14"/>
      <c r="Q152" s="13" t="str">
        <f t="shared" si="19"/>
        <v/>
      </c>
    </row>
    <row r="153" spans="1:17" ht="16.5">
      <c r="A153" s="12"/>
      <c r="B153" s="13" t="str">
        <f t="shared" si="16"/>
        <v>1900-01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5"/>
      <c r="M153" s="16"/>
      <c r="N153" s="17">
        <f t="shared" si="17"/>
        <v>0</v>
      </c>
      <c r="O153" s="17">
        <f t="shared" si="18"/>
        <v>0</v>
      </c>
      <c r="P153" s="14"/>
      <c r="Q153" s="13" t="str">
        <f t="shared" si="19"/>
        <v/>
      </c>
    </row>
    <row r="154" spans="1:17" ht="16.5">
      <c r="A154" s="12"/>
      <c r="B154" s="13" t="str">
        <f t="shared" si="16"/>
        <v>1900-01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5"/>
      <c r="M154" s="16"/>
      <c r="N154" s="17">
        <f t="shared" si="17"/>
        <v>0</v>
      </c>
      <c r="O154" s="17">
        <f t="shared" si="18"/>
        <v>0</v>
      </c>
      <c r="P154" s="14"/>
      <c r="Q154" s="13" t="str">
        <f t="shared" si="19"/>
        <v/>
      </c>
    </row>
    <row r="155" spans="1:17" ht="16.5">
      <c r="A155" s="12"/>
      <c r="B155" s="13" t="str">
        <f t="shared" si="16"/>
        <v>1900-01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5"/>
      <c r="M155" s="16"/>
      <c r="N155" s="17">
        <f t="shared" si="17"/>
        <v>0</v>
      </c>
      <c r="O155" s="17">
        <f t="shared" si="18"/>
        <v>0</v>
      </c>
      <c r="P155" s="14"/>
      <c r="Q155" s="13" t="str">
        <f t="shared" si="19"/>
        <v/>
      </c>
    </row>
    <row r="156" spans="1:17" ht="16.5">
      <c r="A156" s="12"/>
      <c r="B156" s="13" t="str">
        <f t="shared" si="16"/>
        <v>1900-01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5"/>
      <c r="M156" s="16"/>
      <c r="N156" s="17">
        <f t="shared" si="17"/>
        <v>0</v>
      </c>
      <c r="O156" s="17">
        <f t="shared" si="18"/>
        <v>0</v>
      </c>
      <c r="P156" s="14"/>
      <c r="Q156" s="13" t="str">
        <f t="shared" si="19"/>
        <v/>
      </c>
    </row>
    <row r="157" spans="1:17" ht="16.5">
      <c r="A157" s="12"/>
      <c r="B157" s="13" t="str">
        <f t="shared" si="16"/>
        <v>1900-01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5"/>
      <c r="M157" s="16"/>
      <c r="N157" s="17">
        <f t="shared" si="17"/>
        <v>0</v>
      </c>
      <c r="O157" s="17">
        <f t="shared" si="18"/>
        <v>0</v>
      </c>
      <c r="P157" s="14"/>
      <c r="Q157" s="13" t="str">
        <f t="shared" si="19"/>
        <v/>
      </c>
    </row>
    <row r="158" spans="1:17" ht="16.5">
      <c r="A158" s="12"/>
      <c r="B158" s="13" t="str">
        <f t="shared" si="16"/>
        <v>1900-01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5"/>
      <c r="M158" s="16"/>
      <c r="N158" s="17">
        <f t="shared" si="17"/>
        <v>0</v>
      </c>
      <c r="O158" s="17">
        <f t="shared" si="18"/>
        <v>0</v>
      </c>
      <c r="P158" s="14"/>
      <c r="Q158" s="13" t="str">
        <f t="shared" si="19"/>
        <v/>
      </c>
    </row>
    <row r="159" spans="1:17" ht="16.5">
      <c r="A159" s="12"/>
      <c r="B159" s="13" t="str">
        <f t="shared" si="16"/>
        <v>1900-01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5"/>
      <c r="M159" s="16"/>
      <c r="N159" s="17">
        <f t="shared" si="17"/>
        <v>0</v>
      </c>
      <c r="O159" s="17">
        <f t="shared" si="18"/>
        <v>0</v>
      </c>
      <c r="P159" s="14"/>
      <c r="Q159" s="13" t="str">
        <f t="shared" si="19"/>
        <v/>
      </c>
    </row>
    <row r="160" spans="1:17" ht="16.5">
      <c r="A160" s="12"/>
      <c r="B160" s="13" t="str">
        <f t="shared" si="16"/>
        <v>1900-01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5"/>
      <c r="M160" s="16"/>
      <c r="N160" s="17">
        <f t="shared" si="17"/>
        <v>0</v>
      </c>
      <c r="O160" s="17">
        <f t="shared" si="18"/>
        <v>0</v>
      </c>
      <c r="P160" s="14"/>
      <c r="Q160" s="13" t="str">
        <f t="shared" si="19"/>
        <v/>
      </c>
    </row>
    <row r="161" spans="1:17" ht="16.5">
      <c r="A161" s="12"/>
      <c r="B161" s="13" t="str">
        <f t="shared" si="16"/>
        <v>1900-01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5"/>
      <c r="M161" s="16"/>
      <c r="N161" s="17">
        <f t="shared" si="17"/>
        <v>0</v>
      </c>
      <c r="O161" s="17">
        <f t="shared" si="18"/>
        <v>0</v>
      </c>
      <c r="P161" s="14"/>
      <c r="Q161" s="13" t="str">
        <f t="shared" si="19"/>
        <v/>
      </c>
    </row>
    <row r="162" spans="1:17" ht="16.5">
      <c r="A162" s="12"/>
      <c r="B162" s="13" t="str">
        <f t="shared" si="16"/>
        <v>1900-01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5"/>
      <c r="M162" s="16"/>
      <c r="N162" s="17">
        <f t="shared" si="17"/>
        <v>0</v>
      </c>
      <c r="O162" s="17">
        <f t="shared" si="18"/>
        <v>0</v>
      </c>
      <c r="P162" s="14"/>
      <c r="Q162" s="13" t="str">
        <f t="shared" si="19"/>
        <v/>
      </c>
    </row>
    <row r="163" spans="1:17" ht="16.5">
      <c r="A163" s="12"/>
      <c r="B163" s="13" t="str">
        <f t="shared" si="16"/>
        <v>1900-01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5"/>
      <c r="M163" s="16"/>
      <c r="N163" s="17">
        <f t="shared" si="17"/>
        <v>0</v>
      </c>
      <c r="O163" s="17">
        <f t="shared" si="18"/>
        <v>0</v>
      </c>
      <c r="P163" s="14"/>
      <c r="Q163" s="13" t="str">
        <f t="shared" si="19"/>
        <v/>
      </c>
    </row>
    <row r="164" spans="1:17" ht="16.5">
      <c r="A164" s="12"/>
      <c r="B164" s="13" t="str">
        <f t="shared" si="16"/>
        <v>1900-01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5"/>
      <c r="M164" s="16"/>
      <c r="N164" s="17">
        <f t="shared" si="17"/>
        <v>0</v>
      </c>
      <c r="O164" s="17">
        <f t="shared" si="18"/>
        <v>0</v>
      </c>
      <c r="P164" s="14"/>
      <c r="Q164" s="13" t="str">
        <f t="shared" si="19"/>
        <v/>
      </c>
    </row>
    <row r="165" spans="1:17" ht="16.5">
      <c r="A165" s="12"/>
      <c r="B165" s="13" t="str">
        <f t="shared" ref="B165:B196" si="20">TEXT(A165,"yyyy-mm")</f>
        <v>1900-01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5"/>
      <c r="M165" s="16"/>
      <c r="N165" s="17">
        <f t="shared" ref="N165:N196" si="21">IFERROR(L165*M165/(1+M165),0)</f>
        <v>0</v>
      </c>
      <c r="O165" s="17">
        <f t="shared" ref="O165:O196" si="22">L165-N165</f>
        <v>0</v>
      </c>
      <c r="P165" s="14"/>
      <c r="Q165" s="13" t="str">
        <f t="shared" ref="Q165:Q196" si="23">IF(A165="","",IF(OR(L165&lt;=0,C165="",D165="",F165=""),"需检查",IF(AND(C165="支出",I165="未收票"),"缺发票","正常")))</f>
        <v/>
      </c>
    </row>
    <row r="166" spans="1:17" ht="16.5">
      <c r="A166" s="12"/>
      <c r="B166" s="13" t="str">
        <f t="shared" si="20"/>
        <v>1900-01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5"/>
      <c r="M166" s="16"/>
      <c r="N166" s="17">
        <f t="shared" si="21"/>
        <v>0</v>
      </c>
      <c r="O166" s="17">
        <f t="shared" si="22"/>
        <v>0</v>
      </c>
      <c r="P166" s="14"/>
      <c r="Q166" s="13" t="str">
        <f t="shared" si="23"/>
        <v/>
      </c>
    </row>
    <row r="167" spans="1:17" ht="16.5">
      <c r="A167" s="12"/>
      <c r="B167" s="13" t="str">
        <f t="shared" si="20"/>
        <v>1900-01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5"/>
      <c r="M167" s="16"/>
      <c r="N167" s="17">
        <f t="shared" si="21"/>
        <v>0</v>
      </c>
      <c r="O167" s="17">
        <f t="shared" si="22"/>
        <v>0</v>
      </c>
      <c r="P167" s="14"/>
      <c r="Q167" s="13" t="str">
        <f t="shared" si="23"/>
        <v/>
      </c>
    </row>
    <row r="168" spans="1:17" ht="16.5">
      <c r="A168" s="12"/>
      <c r="B168" s="13" t="str">
        <f t="shared" si="20"/>
        <v>1900-01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5"/>
      <c r="M168" s="16"/>
      <c r="N168" s="17">
        <f t="shared" si="21"/>
        <v>0</v>
      </c>
      <c r="O168" s="17">
        <f t="shared" si="22"/>
        <v>0</v>
      </c>
      <c r="P168" s="14"/>
      <c r="Q168" s="13" t="str">
        <f t="shared" si="23"/>
        <v/>
      </c>
    </row>
    <row r="169" spans="1:17" ht="16.5">
      <c r="A169" s="12"/>
      <c r="B169" s="13" t="str">
        <f t="shared" si="20"/>
        <v>1900-01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5"/>
      <c r="M169" s="16"/>
      <c r="N169" s="17">
        <f t="shared" si="21"/>
        <v>0</v>
      </c>
      <c r="O169" s="17">
        <f t="shared" si="22"/>
        <v>0</v>
      </c>
      <c r="P169" s="14"/>
      <c r="Q169" s="13" t="str">
        <f t="shared" si="23"/>
        <v/>
      </c>
    </row>
    <row r="170" spans="1:17" ht="16.5">
      <c r="A170" s="12"/>
      <c r="B170" s="13" t="str">
        <f t="shared" si="20"/>
        <v>1900-01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5"/>
      <c r="M170" s="16"/>
      <c r="N170" s="17">
        <f t="shared" si="21"/>
        <v>0</v>
      </c>
      <c r="O170" s="17">
        <f t="shared" si="22"/>
        <v>0</v>
      </c>
      <c r="P170" s="14"/>
      <c r="Q170" s="13" t="str">
        <f t="shared" si="23"/>
        <v/>
      </c>
    </row>
    <row r="171" spans="1:17" ht="16.5">
      <c r="A171" s="12"/>
      <c r="B171" s="13" t="str">
        <f t="shared" si="20"/>
        <v>1900-01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5"/>
      <c r="M171" s="16"/>
      <c r="N171" s="17">
        <f t="shared" si="21"/>
        <v>0</v>
      </c>
      <c r="O171" s="17">
        <f t="shared" si="22"/>
        <v>0</v>
      </c>
      <c r="P171" s="14"/>
      <c r="Q171" s="13" t="str">
        <f t="shared" si="23"/>
        <v/>
      </c>
    </row>
    <row r="172" spans="1:17" ht="16.5">
      <c r="A172" s="12"/>
      <c r="B172" s="13" t="str">
        <f t="shared" si="20"/>
        <v>1900-01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5"/>
      <c r="M172" s="16"/>
      <c r="N172" s="17">
        <f t="shared" si="21"/>
        <v>0</v>
      </c>
      <c r="O172" s="17">
        <f t="shared" si="22"/>
        <v>0</v>
      </c>
      <c r="P172" s="14"/>
      <c r="Q172" s="13" t="str">
        <f t="shared" si="23"/>
        <v/>
      </c>
    </row>
    <row r="173" spans="1:17" ht="16.5">
      <c r="A173" s="12"/>
      <c r="B173" s="13" t="str">
        <f t="shared" si="20"/>
        <v>1900-01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5"/>
      <c r="M173" s="16"/>
      <c r="N173" s="17">
        <f t="shared" si="21"/>
        <v>0</v>
      </c>
      <c r="O173" s="17">
        <f t="shared" si="22"/>
        <v>0</v>
      </c>
      <c r="P173" s="14"/>
      <c r="Q173" s="13" t="str">
        <f t="shared" si="23"/>
        <v/>
      </c>
    </row>
    <row r="174" spans="1:17" ht="16.5">
      <c r="A174" s="12"/>
      <c r="B174" s="13" t="str">
        <f t="shared" si="20"/>
        <v>1900-01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5"/>
      <c r="M174" s="16"/>
      <c r="N174" s="17">
        <f t="shared" si="21"/>
        <v>0</v>
      </c>
      <c r="O174" s="17">
        <f t="shared" si="22"/>
        <v>0</v>
      </c>
      <c r="P174" s="14"/>
      <c r="Q174" s="13" t="str">
        <f t="shared" si="23"/>
        <v/>
      </c>
    </row>
    <row r="175" spans="1:17" ht="16.5">
      <c r="A175" s="12"/>
      <c r="B175" s="13" t="str">
        <f t="shared" si="20"/>
        <v>1900-01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5"/>
      <c r="M175" s="16"/>
      <c r="N175" s="17">
        <f t="shared" si="21"/>
        <v>0</v>
      </c>
      <c r="O175" s="17">
        <f t="shared" si="22"/>
        <v>0</v>
      </c>
      <c r="P175" s="14"/>
      <c r="Q175" s="13" t="str">
        <f t="shared" si="23"/>
        <v/>
      </c>
    </row>
    <row r="176" spans="1:17" ht="16.5">
      <c r="A176" s="12"/>
      <c r="B176" s="13" t="str">
        <f t="shared" si="20"/>
        <v>1900-01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5"/>
      <c r="M176" s="16"/>
      <c r="N176" s="17">
        <f t="shared" si="21"/>
        <v>0</v>
      </c>
      <c r="O176" s="17">
        <f t="shared" si="22"/>
        <v>0</v>
      </c>
      <c r="P176" s="14"/>
      <c r="Q176" s="13" t="str">
        <f t="shared" si="23"/>
        <v/>
      </c>
    </row>
    <row r="177" spans="1:17" ht="16.5">
      <c r="A177" s="12"/>
      <c r="B177" s="13" t="str">
        <f t="shared" si="20"/>
        <v>1900-01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5"/>
      <c r="M177" s="16"/>
      <c r="N177" s="17">
        <f t="shared" si="21"/>
        <v>0</v>
      </c>
      <c r="O177" s="17">
        <f t="shared" si="22"/>
        <v>0</v>
      </c>
      <c r="P177" s="14"/>
      <c r="Q177" s="13" t="str">
        <f t="shared" si="23"/>
        <v/>
      </c>
    </row>
    <row r="178" spans="1:17" ht="16.5">
      <c r="A178" s="12"/>
      <c r="B178" s="13" t="str">
        <f t="shared" si="20"/>
        <v>1900-01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5"/>
      <c r="M178" s="16"/>
      <c r="N178" s="17">
        <f t="shared" si="21"/>
        <v>0</v>
      </c>
      <c r="O178" s="17">
        <f t="shared" si="22"/>
        <v>0</v>
      </c>
      <c r="P178" s="14"/>
      <c r="Q178" s="13" t="str">
        <f t="shared" si="23"/>
        <v/>
      </c>
    </row>
    <row r="179" spans="1:17" ht="16.5">
      <c r="A179" s="12"/>
      <c r="B179" s="13" t="str">
        <f t="shared" si="20"/>
        <v>1900-01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5"/>
      <c r="M179" s="16"/>
      <c r="N179" s="17">
        <f t="shared" si="21"/>
        <v>0</v>
      </c>
      <c r="O179" s="17">
        <f t="shared" si="22"/>
        <v>0</v>
      </c>
      <c r="P179" s="14"/>
      <c r="Q179" s="13" t="str">
        <f t="shared" si="23"/>
        <v/>
      </c>
    </row>
    <row r="180" spans="1:17" ht="16.5">
      <c r="A180" s="12"/>
      <c r="B180" s="13" t="str">
        <f t="shared" si="20"/>
        <v>1900-01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5"/>
      <c r="M180" s="16"/>
      <c r="N180" s="17">
        <f t="shared" si="21"/>
        <v>0</v>
      </c>
      <c r="O180" s="17">
        <f t="shared" si="22"/>
        <v>0</v>
      </c>
      <c r="P180" s="14"/>
      <c r="Q180" s="13" t="str">
        <f t="shared" si="23"/>
        <v/>
      </c>
    </row>
    <row r="181" spans="1:17" ht="16.5">
      <c r="A181" s="12"/>
      <c r="B181" s="13" t="str">
        <f t="shared" si="20"/>
        <v>1900-01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5"/>
      <c r="M181" s="16"/>
      <c r="N181" s="17">
        <f t="shared" si="21"/>
        <v>0</v>
      </c>
      <c r="O181" s="17">
        <f t="shared" si="22"/>
        <v>0</v>
      </c>
      <c r="P181" s="14"/>
      <c r="Q181" s="13" t="str">
        <f t="shared" si="23"/>
        <v/>
      </c>
    </row>
    <row r="182" spans="1:17" ht="16.5">
      <c r="A182" s="12"/>
      <c r="B182" s="13" t="str">
        <f t="shared" si="20"/>
        <v>1900-01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5"/>
      <c r="M182" s="16"/>
      <c r="N182" s="17">
        <f t="shared" si="21"/>
        <v>0</v>
      </c>
      <c r="O182" s="17">
        <f t="shared" si="22"/>
        <v>0</v>
      </c>
      <c r="P182" s="14"/>
      <c r="Q182" s="13" t="str">
        <f t="shared" si="23"/>
        <v/>
      </c>
    </row>
    <row r="183" spans="1:17" ht="16.5">
      <c r="A183" s="12"/>
      <c r="B183" s="13" t="str">
        <f t="shared" si="20"/>
        <v>1900-01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5"/>
      <c r="M183" s="16"/>
      <c r="N183" s="17">
        <f t="shared" si="21"/>
        <v>0</v>
      </c>
      <c r="O183" s="17">
        <f t="shared" si="22"/>
        <v>0</v>
      </c>
      <c r="P183" s="14"/>
      <c r="Q183" s="13" t="str">
        <f t="shared" si="23"/>
        <v/>
      </c>
    </row>
    <row r="184" spans="1:17" ht="16.5">
      <c r="A184" s="12"/>
      <c r="B184" s="13" t="str">
        <f t="shared" si="20"/>
        <v>1900-01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5"/>
      <c r="M184" s="16"/>
      <c r="N184" s="17">
        <f t="shared" si="21"/>
        <v>0</v>
      </c>
      <c r="O184" s="17">
        <f t="shared" si="22"/>
        <v>0</v>
      </c>
      <c r="P184" s="14"/>
      <c r="Q184" s="13" t="str">
        <f t="shared" si="23"/>
        <v/>
      </c>
    </row>
    <row r="185" spans="1:17" ht="16.5">
      <c r="A185" s="12"/>
      <c r="B185" s="13" t="str">
        <f t="shared" si="20"/>
        <v>1900-01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5"/>
      <c r="M185" s="16"/>
      <c r="N185" s="17">
        <f t="shared" si="21"/>
        <v>0</v>
      </c>
      <c r="O185" s="17">
        <f t="shared" si="22"/>
        <v>0</v>
      </c>
      <c r="P185" s="14"/>
      <c r="Q185" s="13" t="str">
        <f t="shared" si="23"/>
        <v/>
      </c>
    </row>
    <row r="186" spans="1:17" ht="16.5">
      <c r="A186" s="12"/>
      <c r="B186" s="13" t="str">
        <f t="shared" si="20"/>
        <v>1900-01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5"/>
      <c r="M186" s="16"/>
      <c r="N186" s="17">
        <f t="shared" si="21"/>
        <v>0</v>
      </c>
      <c r="O186" s="17">
        <f t="shared" si="22"/>
        <v>0</v>
      </c>
      <c r="P186" s="14"/>
      <c r="Q186" s="13" t="str">
        <f t="shared" si="23"/>
        <v/>
      </c>
    </row>
    <row r="187" spans="1:17" ht="16.5">
      <c r="A187" s="12"/>
      <c r="B187" s="13" t="str">
        <f t="shared" si="20"/>
        <v>1900-01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5"/>
      <c r="M187" s="16"/>
      <c r="N187" s="17">
        <f t="shared" si="21"/>
        <v>0</v>
      </c>
      <c r="O187" s="17">
        <f t="shared" si="22"/>
        <v>0</v>
      </c>
      <c r="P187" s="14"/>
      <c r="Q187" s="13" t="str">
        <f t="shared" si="23"/>
        <v/>
      </c>
    </row>
    <row r="188" spans="1:17" ht="16.5">
      <c r="A188" s="12"/>
      <c r="B188" s="13" t="str">
        <f t="shared" si="20"/>
        <v>1900-01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5"/>
      <c r="M188" s="16"/>
      <c r="N188" s="17">
        <f t="shared" si="21"/>
        <v>0</v>
      </c>
      <c r="O188" s="17">
        <f t="shared" si="22"/>
        <v>0</v>
      </c>
      <c r="P188" s="14"/>
      <c r="Q188" s="13" t="str">
        <f t="shared" si="23"/>
        <v/>
      </c>
    </row>
    <row r="189" spans="1:17" ht="16.5">
      <c r="A189" s="12"/>
      <c r="B189" s="13" t="str">
        <f t="shared" si="20"/>
        <v>1900-01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5"/>
      <c r="M189" s="16"/>
      <c r="N189" s="17">
        <f t="shared" si="21"/>
        <v>0</v>
      </c>
      <c r="O189" s="17">
        <f t="shared" si="22"/>
        <v>0</v>
      </c>
      <c r="P189" s="14"/>
      <c r="Q189" s="13" t="str">
        <f t="shared" si="23"/>
        <v/>
      </c>
    </row>
    <row r="190" spans="1:17" ht="16.5">
      <c r="A190" s="12"/>
      <c r="B190" s="13" t="str">
        <f t="shared" si="20"/>
        <v>1900-01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5"/>
      <c r="M190" s="16"/>
      <c r="N190" s="17">
        <f t="shared" si="21"/>
        <v>0</v>
      </c>
      <c r="O190" s="17">
        <f t="shared" si="22"/>
        <v>0</v>
      </c>
      <c r="P190" s="14"/>
      <c r="Q190" s="13" t="str">
        <f t="shared" si="23"/>
        <v/>
      </c>
    </row>
    <row r="191" spans="1:17" ht="16.5">
      <c r="A191" s="12"/>
      <c r="B191" s="13" t="str">
        <f t="shared" si="20"/>
        <v>1900-01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5"/>
      <c r="M191" s="16"/>
      <c r="N191" s="17">
        <f t="shared" si="21"/>
        <v>0</v>
      </c>
      <c r="O191" s="17">
        <f t="shared" si="22"/>
        <v>0</v>
      </c>
      <c r="P191" s="14"/>
      <c r="Q191" s="13" t="str">
        <f t="shared" si="23"/>
        <v/>
      </c>
    </row>
    <row r="192" spans="1:17" ht="16.5">
      <c r="A192" s="12"/>
      <c r="B192" s="13" t="str">
        <f t="shared" si="20"/>
        <v>1900-01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5"/>
      <c r="M192" s="16"/>
      <c r="N192" s="17">
        <f t="shared" si="21"/>
        <v>0</v>
      </c>
      <c r="O192" s="17">
        <f t="shared" si="22"/>
        <v>0</v>
      </c>
      <c r="P192" s="14"/>
      <c r="Q192" s="13" t="str">
        <f t="shared" si="23"/>
        <v/>
      </c>
    </row>
    <row r="193" spans="1:17" ht="16.5">
      <c r="A193" s="12"/>
      <c r="B193" s="13" t="str">
        <f t="shared" si="20"/>
        <v>1900-01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5"/>
      <c r="M193" s="16"/>
      <c r="N193" s="17">
        <f t="shared" si="21"/>
        <v>0</v>
      </c>
      <c r="O193" s="17">
        <f t="shared" si="22"/>
        <v>0</v>
      </c>
      <c r="P193" s="14"/>
      <c r="Q193" s="13" t="str">
        <f t="shared" si="23"/>
        <v/>
      </c>
    </row>
    <row r="194" spans="1:17" ht="16.5">
      <c r="A194" s="12"/>
      <c r="B194" s="13" t="str">
        <f t="shared" si="20"/>
        <v>1900-01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5"/>
      <c r="M194" s="16"/>
      <c r="N194" s="17">
        <f t="shared" si="21"/>
        <v>0</v>
      </c>
      <c r="O194" s="17">
        <f t="shared" si="22"/>
        <v>0</v>
      </c>
      <c r="P194" s="14"/>
      <c r="Q194" s="13" t="str">
        <f t="shared" si="23"/>
        <v/>
      </c>
    </row>
    <row r="195" spans="1:17" ht="16.5">
      <c r="A195" s="12"/>
      <c r="B195" s="13" t="str">
        <f t="shared" si="20"/>
        <v>1900-01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5"/>
      <c r="M195" s="16"/>
      <c r="N195" s="17">
        <f t="shared" si="21"/>
        <v>0</v>
      </c>
      <c r="O195" s="17">
        <f t="shared" si="22"/>
        <v>0</v>
      </c>
      <c r="P195" s="14"/>
      <c r="Q195" s="13" t="str">
        <f t="shared" si="23"/>
        <v/>
      </c>
    </row>
    <row r="196" spans="1:17" ht="16.5">
      <c r="A196" s="12"/>
      <c r="B196" s="13" t="str">
        <f t="shared" si="20"/>
        <v>1900-01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5"/>
      <c r="M196" s="16"/>
      <c r="N196" s="17">
        <f t="shared" si="21"/>
        <v>0</v>
      </c>
      <c r="O196" s="17">
        <f t="shared" si="22"/>
        <v>0</v>
      </c>
      <c r="P196" s="14"/>
      <c r="Q196" s="13" t="str">
        <f t="shared" si="23"/>
        <v/>
      </c>
    </row>
    <row r="197" spans="1:17" ht="16.5">
      <c r="A197" s="12"/>
      <c r="B197" s="13" t="str">
        <f t="shared" ref="B197:B228" si="24">TEXT(A197,"yyyy-mm")</f>
        <v>1900-01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5"/>
      <c r="M197" s="16"/>
      <c r="N197" s="17">
        <f t="shared" ref="N197:N228" si="25">IFERROR(L197*M197/(1+M197),0)</f>
        <v>0</v>
      </c>
      <c r="O197" s="17">
        <f t="shared" ref="O197:O228" si="26">L197-N197</f>
        <v>0</v>
      </c>
      <c r="P197" s="14"/>
      <c r="Q197" s="13" t="str">
        <f t="shared" ref="Q197:Q204" si="27">IF(A197="","",IF(OR(L197&lt;=0,C197="",D197="",F197=""),"需检查",IF(AND(C197="支出",I197="未收票"),"缺发票","正常")))</f>
        <v/>
      </c>
    </row>
    <row r="198" spans="1:17" ht="16.5">
      <c r="A198" s="12"/>
      <c r="B198" s="13" t="str">
        <f t="shared" si="24"/>
        <v>1900-01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5"/>
      <c r="M198" s="16"/>
      <c r="N198" s="17">
        <f t="shared" si="25"/>
        <v>0</v>
      </c>
      <c r="O198" s="17">
        <f t="shared" si="26"/>
        <v>0</v>
      </c>
      <c r="P198" s="14"/>
      <c r="Q198" s="13" t="str">
        <f t="shared" si="27"/>
        <v/>
      </c>
    </row>
    <row r="199" spans="1:17" ht="16.5">
      <c r="A199" s="12"/>
      <c r="B199" s="13" t="str">
        <f t="shared" si="24"/>
        <v>1900-01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5"/>
      <c r="M199" s="16"/>
      <c r="N199" s="17">
        <f t="shared" si="25"/>
        <v>0</v>
      </c>
      <c r="O199" s="17">
        <f t="shared" si="26"/>
        <v>0</v>
      </c>
      <c r="P199" s="14"/>
      <c r="Q199" s="13" t="str">
        <f t="shared" si="27"/>
        <v/>
      </c>
    </row>
    <row r="200" spans="1:17" ht="16.5">
      <c r="A200" s="12"/>
      <c r="B200" s="13" t="str">
        <f t="shared" si="24"/>
        <v>1900-01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5"/>
      <c r="M200" s="16"/>
      <c r="N200" s="17">
        <f t="shared" si="25"/>
        <v>0</v>
      </c>
      <c r="O200" s="17">
        <f t="shared" si="26"/>
        <v>0</v>
      </c>
      <c r="P200" s="14"/>
      <c r="Q200" s="13" t="str">
        <f t="shared" si="27"/>
        <v/>
      </c>
    </row>
    <row r="201" spans="1:17" ht="16.5">
      <c r="A201" s="12"/>
      <c r="B201" s="13" t="str">
        <f t="shared" si="24"/>
        <v>1900-01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5"/>
      <c r="M201" s="16"/>
      <c r="N201" s="17">
        <f t="shared" si="25"/>
        <v>0</v>
      </c>
      <c r="O201" s="17">
        <f t="shared" si="26"/>
        <v>0</v>
      </c>
      <c r="P201" s="14"/>
      <c r="Q201" s="13" t="str">
        <f t="shared" si="27"/>
        <v/>
      </c>
    </row>
    <row r="202" spans="1:17" ht="16.5">
      <c r="A202" s="12"/>
      <c r="B202" s="13" t="str">
        <f t="shared" si="24"/>
        <v>1900-01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5"/>
      <c r="M202" s="16"/>
      <c r="N202" s="17">
        <f t="shared" si="25"/>
        <v>0</v>
      </c>
      <c r="O202" s="17">
        <f t="shared" si="26"/>
        <v>0</v>
      </c>
      <c r="P202" s="14"/>
      <c r="Q202" s="13" t="str">
        <f t="shared" si="27"/>
        <v/>
      </c>
    </row>
    <row r="203" spans="1:17" ht="16.5">
      <c r="A203" s="12"/>
      <c r="B203" s="13" t="str">
        <f t="shared" si="24"/>
        <v>1900-01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5"/>
      <c r="M203" s="16"/>
      <c r="N203" s="17">
        <f t="shared" si="25"/>
        <v>0</v>
      </c>
      <c r="O203" s="17">
        <f t="shared" si="26"/>
        <v>0</v>
      </c>
      <c r="P203" s="14"/>
      <c r="Q203" s="13" t="str">
        <f t="shared" si="27"/>
        <v/>
      </c>
    </row>
    <row r="204" spans="1:17" ht="16.5">
      <c r="A204" s="18"/>
      <c r="B204" s="19" t="str">
        <f t="shared" si="24"/>
        <v>1900-01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2"/>
      <c r="N204" s="23">
        <f t="shared" si="25"/>
        <v>0</v>
      </c>
      <c r="O204" s="23">
        <f t="shared" si="26"/>
        <v>0</v>
      </c>
      <c r="P204" s="20"/>
      <c r="Q204" s="19" t="str">
        <f t="shared" si="27"/>
        <v/>
      </c>
    </row>
  </sheetData>
  <mergeCells count="2">
    <mergeCell ref="A1:Q2"/>
    <mergeCell ref="A3:Q3"/>
  </mergeCells>
  <phoneticPr fontId="12" type="noConversion"/>
  <conditionalFormatting sqref="Q5:Q204">
    <cfRule type="containsText" dxfId="5" priority="1" operator="containsText" text="正常"/>
    <cfRule type="notContainsText" dxfId="4" priority="2" operator="notContains" text="正常"/>
  </conditionalFormatting>
  <dataValidations count="3">
    <dataValidation type="list" sqref="C5:C204" xr:uid="{00000000-0002-0000-0100-000000000000}">
      <formula1>"收入,支出"</formula1>
    </dataValidation>
    <dataValidation type="list" sqref="I5:I204" xr:uid="{00000000-0002-0000-0100-000001000000}">
      <formula1>"已开票,未开票,已收票,未收票,无需发票"</formula1>
    </dataValidation>
    <dataValidation type="list" sqref="J5:J204" xr:uid="{00000000-0002-0000-0100-000002000000}">
      <formula1>"已收款,部分收款,未收款,已付款,部分付款,未付款"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"/>
  <sheetViews>
    <sheetView showGridLines="0" workbookViewId="0"/>
  </sheetViews>
  <sheetFormatPr defaultRowHeight="14"/>
  <cols>
    <col min="1" max="1" width="15" customWidth="1"/>
    <col min="2" max="2" width="18" customWidth="1"/>
    <col min="3" max="3" width="14" customWidth="1"/>
    <col min="4" max="15" width="12" customWidth="1"/>
    <col min="16" max="17" width="14" customWidth="1"/>
    <col min="18" max="19" width="11" customWidth="1"/>
    <col min="20" max="21" width="12" customWidth="1"/>
  </cols>
  <sheetData>
    <row r="1" spans="1:21" ht="34" customHeight="1">
      <c r="A1" s="42" t="s">
        <v>98</v>
      </c>
      <c r="B1" s="42" t="s">
        <v>98</v>
      </c>
      <c r="C1" s="42" t="s">
        <v>98</v>
      </c>
      <c r="D1" s="42" t="s">
        <v>98</v>
      </c>
      <c r="E1" s="42" t="s">
        <v>98</v>
      </c>
      <c r="F1" s="42" t="s">
        <v>98</v>
      </c>
      <c r="G1" s="42" t="s">
        <v>98</v>
      </c>
      <c r="H1" s="42" t="s">
        <v>98</v>
      </c>
      <c r="I1" s="42" t="s">
        <v>98</v>
      </c>
      <c r="J1" s="42" t="s">
        <v>98</v>
      </c>
      <c r="K1" s="42" t="s">
        <v>98</v>
      </c>
      <c r="L1" s="42" t="s">
        <v>98</v>
      </c>
      <c r="M1" s="42" t="s">
        <v>98</v>
      </c>
      <c r="N1" s="42" t="s">
        <v>98</v>
      </c>
      <c r="O1" s="42" t="s">
        <v>98</v>
      </c>
      <c r="P1" s="42" t="s">
        <v>98</v>
      </c>
      <c r="Q1" s="42" t="s">
        <v>98</v>
      </c>
      <c r="R1" s="42" t="s">
        <v>98</v>
      </c>
      <c r="S1" s="42" t="s">
        <v>98</v>
      </c>
      <c r="T1" s="42" t="s">
        <v>98</v>
      </c>
      <c r="U1" s="42" t="s">
        <v>98</v>
      </c>
    </row>
    <row r="2" spans="1:21" ht="34" customHeight="1">
      <c r="A2" s="42" t="s">
        <v>98</v>
      </c>
      <c r="B2" s="42" t="s">
        <v>98</v>
      </c>
      <c r="C2" s="42" t="s">
        <v>98</v>
      </c>
      <c r="D2" s="42" t="s">
        <v>98</v>
      </c>
      <c r="E2" s="42" t="s">
        <v>98</v>
      </c>
      <c r="F2" s="42" t="s">
        <v>98</v>
      </c>
      <c r="G2" s="42" t="s">
        <v>98</v>
      </c>
      <c r="H2" s="42" t="s">
        <v>98</v>
      </c>
      <c r="I2" s="42" t="s">
        <v>98</v>
      </c>
      <c r="J2" s="42" t="s">
        <v>98</v>
      </c>
      <c r="K2" s="42" t="s">
        <v>98</v>
      </c>
      <c r="L2" s="42" t="s">
        <v>98</v>
      </c>
      <c r="M2" s="42" t="s">
        <v>98</v>
      </c>
      <c r="N2" s="42" t="s">
        <v>98</v>
      </c>
      <c r="O2" s="42" t="s">
        <v>98</v>
      </c>
      <c r="P2" s="42" t="s">
        <v>98</v>
      </c>
      <c r="Q2" s="42" t="s">
        <v>98</v>
      </c>
      <c r="R2" s="42" t="s">
        <v>98</v>
      </c>
      <c r="S2" s="42" t="s">
        <v>98</v>
      </c>
      <c r="T2" s="42" t="s">
        <v>98</v>
      </c>
      <c r="U2" s="42" t="s">
        <v>98</v>
      </c>
    </row>
    <row r="3" spans="1:21" ht="18.5">
      <c r="A3" s="45" t="s">
        <v>99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30" customHeight="1">
      <c r="A4" s="5" t="s">
        <v>8</v>
      </c>
      <c r="B4" s="5" t="s">
        <v>10</v>
      </c>
      <c r="C4" s="5" t="s">
        <v>2</v>
      </c>
      <c r="D4" s="5" t="s">
        <v>100</v>
      </c>
      <c r="E4" s="5" t="s">
        <v>101</v>
      </c>
      <c r="F4" s="5" t="s">
        <v>102</v>
      </c>
      <c r="G4" s="5" t="s">
        <v>103</v>
      </c>
      <c r="H4" s="5" t="s">
        <v>104</v>
      </c>
      <c r="I4" s="5" t="s">
        <v>105</v>
      </c>
      <c r="J4" s="5" t="s">
        <v>106</v>
      </c>
      <c r="K4" s="5" t="s">
        <v>107</v>
      </c>
      <c r="L4" s="5" t="s">
        <v>108</v>
      </c>
      <c r="M4" s="5" t="s">
        <v>109</v>
      </c>
      <c r="N4" s="5" t="s">
        <v>110</v>
      </c>
      <c r="O4" s="5" t="s">
        <v>111</v>
      </c>
      <c r="P4" s="5" t="s">
        <v>112</v>
      </c>
      <c r="Q4" s="5" t="s">
        <v>113</v>
      </c>
      <c r="R4" s="5" t="s">
        <v>114</v>
      </c>
      <c r="S4" s="5" t="s">
        <v>115</v>
      </c>
      <c r="T4" s="5" t="s">
        <v>116</v>
      </c>
      <c r="U4" s="5" t="s">
        <v>1</v>
      </c>
    </row>
    <row r="5" spans="1:21" ht="16.5">
      <c r="A5" s="2" t="s">
        <v>23</v>
      </c>
      <c r="B5" s="2" t="s">
        <v>41</v>
      </c>
      <c r="C5" s="24">
        <v>1200000</v>
      </c>
      <c r="D5" s="25">
        <f>SUMIFS(财务流水!$L$5:$L$204,财务流水!$B$5:$B$204,"2026-01",财务流水!$C$5:$C$204,"支出",财务流水!$D$5:$D$204,$A5,财务流水!$F$5:$F$204,$B5)</f>
        <v>92000</v>
      </c>
      <c r="E5" s="25">
        <f>SUMIFS(财务流水!$L$5:$L$204,财务流水!$B$5:$B$204,"2026-02",财务流水!$C$5:$C$204,"支出",财务流水!$D$5:$D$204,$A5,财务流水!$F$5:$F$204,$B5)</f>
        <v>0</v>
      </c>
      <c r="F5" s="25">
        <f>SUMIFS(财务流水!$L$5:$L$204,财务流水!$B$5:$B$204,"2026-03",财务流水!$C$5:$C$204,"支出",财务流水!$D$5:$D$204,$A5,财务流水!$F$5:$F$204,$B5)</f>
        <v>0</v>
      </c>
      <c r="G5" s="25">
        <f>SUMIFS(财务流水!$L$5:$L$204,财务流水!$B$5:$B$204,"2026-04",财务流水!$C$5:$C$204,"支出",财务流水!$D$5:$D$204,$A5,财务流水!$F$5:$F$204,$B5)</f>
        <v>0</v>
      </c>
      <c r="H5" s="25">
        <f>SUMIFS(财务流水!$L$5:$L$204,财务流水!$B$5:$B$204,"2026-05",财务流水!$C$5:$C$204,"支出",财务流水!$D$5:$D$204,$A5,财务流水!$F$5:$F$204,$B5)</f>
        <v>0</v>
      </c>
      <c r="I5" s="25">
        <f>SUMIFS(财务流水!$L$5:$L$204,财务流水!$B$5:$B$204,"2026-06",财务流水!$C$5:$C$204,"支出",财务流水!$D$5:$D$204,$A5,财务流水!$F$5:$F$204,$B5)</f>
        <v>0</v>
      </c>
      <c r="J5" s="25">
        <f>SUMIFS(财务流水!$L$5:$L$204,财务流水!$B$5:$B$204,"2026-07",财务流水!$C$5:$C$204,"支出",财务流水!$D$5:$D$204,$A5,财务流水!$F$5:$F$204,$B5)</f>
        <v>108000</v>
      </c>
      <c r="K5" s="25">
        <f>SUMIFS(财务流水!$L$5:$L$204,财务流水!$B$5:$B$204,"2026-08",财务流水!$C$5:$C$204,"支出",财务流水!$D$5:$D$204,$A5,财务流水!$F$5:$F$204,$B5)</f>
        <v>0</v>
      </c>
      <c r="L5" s="25">
        <f>SUMIFS(财务流水!$L$5:$L$204,财务流水!$B$5:$B$204,"2026-09",财务流水!$C$5:$C$204,"支出",财务流水!$D$5:$D$204,$A5,财务流水!$F$5:$F$204,$B5)</f>
        <v>0</v>
      </c>
      <c r="M5" s="25">
        <f>SUMIFS(财务流水!$L$5:$L$204,财务流水!$B$5:$B$204,"2026-10",财务流水!$C$5:$C$204,"支出",财务流水!$D$5:$D$204,$A5,财务流水!$F$5:$F$204,$B5)</f>
        <v>0</v>
      </c>
      <c r="N5" s="25">
        <f>SUMIFS(财务流水!$L$5:$L$204,财务流水!$B$5:$B$204,"2026-11",财务流水!$C$5:$C$204,"支出",财务流水!$D$5:$D$204,$A5,财务流水!$F$5:$F$204,$B5)</f>
        <v>0</v>
      </c>
      <c r="O5" s="25">
        <f>SUMIFS(财务流水!$L$5:$L$204,财务流水!$B$5:$B$204,"2026-12",财务流水!$C$5:$C$204,"支出",财务流水!$D$5:$D$204,$A5,财务流水!$F$5:$F$204,$B5)</f>
        <v>0</v>
      </c>
      <c r="P5" s="25">
        <f t="shared" ref="P5:P12" si="0">SUM(D5:O5)</f>
        <v>200000</v>
      </c>
      <c r="Q5" s="25">
        <f t="shared" ref="Q5:Q12" si="1">C5-P5</f>
        <v>1000000</v>
      </c>
      <c r="R5" s="26">
        <f t="shared" ref="R5:R13" si="2">IFERROR(P5/C5,0)</f>
        <v>0.16666666666666666</v>
      </c>
      <c r="S5" s="26">
        <f t="shared" ref="S5:S13" si="3">7/12</f>
        <v>0.58333333333333337</v>
      </c>
      <c r="T5" s="27" t="str">
        <f t="shared" ref="T5:T13" si="4">IF(R5&gt;S5+10%,"超进度",IF(R5&lt;S5-10%,"低于进度","正常"))</f>
        <v>低于进度</v>
      </c>
      <c r="U5" s="2" t="s">
        <v>44</v>
      </c>
    </row>
    <row r="6" spans="1:21" ht="16.5">
      <c r="A6" s="3" t="s">
        <v>23</v>
      </c>
      <c r="B6" s="3" t="s">
        <v>77</v>
      </c>
      <c r="C6" s="28">
        <v>480000</v>
      </c>
      <c r="D6" s="29">
        <f>SUMIFS(财务流水!$L$5:$L$204,财务流水!$B$5:$B$204,"2026-01",财务流水!$C$5:$C$204,"支出",财务流水!$D$5:$D$204,$A6,财务流水!$F$5:$F$204,$B6)</f>
        <v>0</v>
      </c>
      <c r="E6" s="29">
        <f>SUMIFS(财务流水!$L$5:$L$204,财务流水!$B$5:$B$204,"2026-02",财务流水!$C$5:$C$204,"支出",财务流水!$D$5:$D$204,$A6,财务流水!$F$5:$F$204,$B6)</f>
        <v>0</v>
      </c>
      <c r="F6" s="29">
        <f>SUMIFS(财务流水!$L$5:$L$204,财务流水!$B$5:$B$204,"2026-03",财务流水!$C$5:$C$204,"支出",财务流水!$D$5:$D$204,$A6,财务流水!$F$5:$F$204,$B6)</f>
        <v>0</v>
      </c>
      <c r="G6" s="29">
        <f>SUMIFS(财务流水!$L$5:$L$204,财务流水!$B$5:$B$204,"2026-04",财务流水!$C$5:$C$204,"支出",财务流水!$D$5:$D$204,$A6,财务流水!$F$5:$F$204,$B6)</f>
        <v>0</v>
      </c>
      <c r="H6" s="29">
        <f>SUMIFS(财务流水!$L$5:$L$204,财务流水!$B$5:$B$204,"2026-05",财务流水!$C$5:$C$204,"支出",财务流水!$D$5:$D$204,$A6,财务流水!$F$5:$F$204,$B6)</f>
        <v>46000</v>
      </c>
      <c r="I6" s="29">
        <f>SUMIFS(财务流水!$L$5:$L$204,财务流水!$B$5:$B$204,"2026-06",财务流水!$C$5:$C$204,"支出",财务流水!$D$5:$D$204,$A6,财务流水!$F$5:$F$204,$B6)</f>
        <v>0</v>
      </c>
      <c r="J6" s="29">
        <f>SUMIFS(财务流水!$L$5:$L$204,财务流水!$B$5:$B$204,"2026-07",财务流水!$C$5:$C$204,"支出",财务流水!$D$5:$D$204,$A6,财务流水!$F$5:$F$204,$B6)</f>
        <v>0</v>
      </c>
      <c r="K6" s="29">
        <f>SUMIFS(财务流水!$L$5:$L$204,财务流水!$B$5:$B$204,"2026-08",财务流水!$C$5:$C$204,"支出",财务流水!$D$5:$D$204,$A6,财务流水!$F$5:$F$204,$B6)</f>
        <v>0</v>
      </c>
      <c r="L6" s="29">
        <f>SUMIFS(财务流水!$L$5:$L$204,财务流水!$B$5:$B$204,"2026-09",财务流水!$C$5:$C$204,"支出",财务流水!$D$5:$D$204,$A6,财务流水!$F$5:$F$204,$B6)</f>
        <v>0</v>
      </c>
      <c r="M6" s="29">
        <f>SUMIFS(财务流水!$L$5:$L$204,财务流水!$B$5:$B$204,"2026-10",财务流水!$C$5:$C$204,"支出",财务流水!$D$5:$D$204,$A6,财务流水!$F$5:$F$204,$B6)</f>
        <v>0</v>
      </c>
      <c r="N6" s="29">
        <f>SUMIFS(财务流水!$L$5:$L$204,财务流水!$B$5:$B$204,"2026-11",财务流水!$C$5:$C$204,"支出",财务流水!$D$5:$D$204,$A6,财务流水!$F$5:$F$204,$B6)</f>
        <v>0</v>
      </c>
      <c r="O6" s="29">
        <f>SUMIFS(财务流水!$L$5:$L$204,财务流水!$B$5:$B$204,"2026-12",财务流水!$C$5:$C$204,"支出",财务流水!$D$5:$D$204,$A6,财务流水!$F$5:$F$204,$B6)</f>
        <v>0</v>
      </c>
      <c r="P6" s="29">
        <f t="shared" si="0"/>
        <v>46000</v>
      </c>
      <c r="Q6" s="29">
        <f t="shared" si="1"/>
        <v>434000</v>
      </c>
      <c r="R6" s="30">
        <f t="shared" si="2"/>
        <v>9.583333333333334E-2</v>
      </c>
      <c r="S6" s="30">
        <f t="shared" si="3"/>
        <v>0.58333333333333337</v>
      </c>
      <c r="T6" s="31" t="str">
        <f t="shared" si="4"/>
        <v>低于进度</v>
      </c>
      <c r="U6" s="3" t="s">
        <v>44</v>
      </c>
    </row>
    <row r="7" spans="1:21" ht="16.5">
      <c r="A7" s="3" t="s">
        <v>33</v>
      </c>
      <c r="B7" s="3" t="s">
        <v>35</v>
      </c>
      <c r="C7" s="28">
        <v>600000</v>
      </c>
      <c r="D7" s="29">
        <f>SUMIFS(财务流水!$L$5:$L$204,财务流水!$B$5:$B$204,"2026-01",财务流水!$C$5:$C$204,"支出",财务流水!$D$5:$D$204,$A7,财务流水!$F$5:$F$204,$B7)</f>
        <v>38000</v>
      </c>
      <c r="E7" s="29">
        <f>SUMIFS(财务流水!$L$5:$L$204,财务流水!$B$5:$B$204,"2026-02",财务流水!$C$5:$C$204,"支出",财务流水!$D$5:$D$204,$A7,财务流水!$F$5:$F$204,$B7)</f>
        <v>0</v>
      </c>
      <c r="F7" s="29">
        <f>SUMIFS(财务流水!$L$5:$L$204,财务流水!$B$5:$B$204,"2026-03",财务流水!$C$5:$C$204,"支出",财务流水!$D$5:$D$204,$A7,财务流水!$F$5:$F$204,$B7)</f>
        <v>0</v>
      </c>
      <c r="G7" s="29">
        <f>SUMIFS(财务流水!$L$5:$L$204,财务流水!$B$5:$B$204,"2026-04",财务流水!$C$5:$C$204,"支出",财务流水!$D$5:$D$204,$A7,财务流水!$F$5:$F$204,$B7)</f>
        <v>0</v>
      </c>
      <c r="H7" s="29">
        <f>SUMIFS(财务流水!$L$5:$L$204,财务流水!$B$5:$B$204,"2026-05",财务流水!$C$5:$C$204,"支出",财务流水!$D$5:$D$204,$A7,财务流水!$F$5:$F$204,$B7)</f>
        <v>0</v>
      </c>
      <c r="I7" s="29">
        <f>SUMIFS(财务流水!$L$5:$L$204,财务流水!$B$5:$B$204,"2026-06",财务流水!$C$5:$C$204,"支出",财务流水!$D$5:$D$204,$A7,财务流水!$F$5:$F$204,$B7)</f>
        <v>0</v>
      </c>
      <c r="J7" s="29">
        <f>SUMIFS(财务流水!$L$5:$L$204,财务流水!$B$5:$B$204,"2026-07",财务流水!$C$5:$C$204,"支出",财务流水!$D$5:$D$204,$A7,财务流水!$F$5:$F$204,$B7)</f>
        <v>42000</v>
      </c>
      <c r="K7" s="29">
        <f>SUMIFS(财务流水!$L$5:$L$204,财务流水!$B$5:$B$204,"2026-08",财务流水!$C$5:$C$204,"支出",财务流水!$D$5:$D$204,$A7,财务流水!$F$5:$F$204,$B7)</f>
        <v>0</v>
      </c>
      <c r="L7" s="29">
        <f>SUMIFS(财务流水!$L$5:$L$204,财务流水!$B$5:$B$204,"2026-09",财务流水!$C$5:$C$204,"支出",财务流水!$D$5:$D$204,$A7,财务流水!$F$5:$F$204,$B7)</f>
        <v>0</v>
      </c>
      <c r="M7" s="29">
        <f>SUMIFS(财务流水!$L$5:$L$204,财务流水!$B$5:$B$204,"2026-10",财务流水!$C$5:$C$204,"支出",财务流水!$D$5:$D$204,$A7,财务流水!$F$5:$F$204,$B7)</f>
        <v>0</v>
      </c>
      <c r="N7" s="29">
        <f>SUMIFS(财务流水!$L$5:$L$204,财务流水!$B$5:$B$204,"2026-11",财务流水!$C$5:$C$204,"支出",财务流水!$D$5:$D$204,$A7,财务流水!$F$5:$F$204,$B7)</f>
        <v>0</v>
      </c>
      <c r="O7" s="29">
        <f>SUMIFS(财务流水!$L$5:$L$204,财务流水!$B$5:$B$204,"2026-12",财务流水!$C$5:$C$204,"支出",财务流水!$D$5:$D$204,$A7,财务流水!$F$5:$F$204,$B7)</f>
        <v>0</v>
      </c>
      <c r="P7" s="29">
        <f t="shared" si="0"/>
        <v>80000</v>
      </c>
      <c r="Q7" s="29">
        <f t="shared" si="1"/>
        <v>520000</v>
      </c>
      <c r="R7" s="30">
        <f t="shared" si="2"/>
        <v>0.13333333333333333</v>
      </c>
      <c r="S7" s="30">
        <f t="shared" si="3"/>
        <v>0.58333333333333337</v>
      </c>
      <c r="T7" s="31" t="str">
        <f t="shared" si="4"/>
        <v>低于进度</v>
      </c>
      <c r="U7" s="3" t="s">
        <v>40</v>
      </c>
    </row>
    <row r="8" spans="1:21" ht="16.5">
      <c r="A8" s="3" t="s">
        <v>33</v>
      </c>
      <c r="B8" s="3" t="s">
        <v>72</v>
      </c>
      <c r="C8" s="28">
        <v>120000</v>
      </c>
      <c r="D8" s="29">
        <f>SUMIFS(财务流水!$L$5:$L$204,财务流水!$B$5:$B$204,"2026-01",财务流水!$C$5:$C$204,"支出",财务流水!$D$5:$D$204,$A8,财务流水!$F$5:$F$204,$B8)</f>
        <v>0</v>
      </c>
      <c r="E8" s="29">
        <f>SUMIFS(财务流水!$L$5:$L$204,财务流水!$B$5:$B$204,"2026-02",财务流水!$C$5:$C$204,"支出",财务流水!$D$5:$D$204,$A8,财务流水!$F$5:$F$204,$B8)</f>
        <v>0</v>
      </c>
      <c r="F8" s="29">
        <f>SUMIFS(财务流水!$L$5:$L$204,财务流水!$B$5:$B$204,"2026-03",财务流水!$C$5:$C$204,"支出",财务流水!$D$5:$D$204,$A8,财务流水!$F$5:$F$204,$B8)</f>
        <v>0</v>
      </c>
      <c r="G8" s="29">
        <f>SUMIFS(财务流水!$L$5:$L$204,财务流水!$B$5:$B$204,"2026-04",财务流水!$C$5:$C$204,"支出",财务流水!$D$5:$D$204,$A8,财务流水!$F$5:$F$204,$B8)</f>
        <v>0</v>
      </c>
      <c r="H8" s="29">
        <f>SUMIFS(财务流水!$L$5:$L$204,财务流水!$B$5:$B$204,"2026-05",财务流水!$C$5:$C$204,"支出",财务流水!$D$5:$D$204,$A8,财务流水!$F$5:$F$204,$B8)</f>
        <v>8600</v>
      </c>
      <c r="I8" s="29">
        <f>SUMIFS(财务流水!$L$5:$L$204,财务流水!$B$5:$B$204,"2026-06",财务流水!$C$5:$C$204,"支出",财务流水!$D$5:$D$204,$A8,财务流水!$F$5:$F$204,$B8)</f>
        <v>0</v>
      </c>
      <c r="J8" s="29">
        <f>SUMIFS(财务流水!$L$5:$L$204,财务流水!$B$5:$B$204,"2026-07",财务流水!$C$5:$C$204,"支出",财务流水!$D$5:$D$204,$A8,财务流水!$F$5:$F$204,$B8)</f>
        <v>0</v>
      </c>
      <c r="K8" s="29">
        <f>SUMIFS(财务流水!$L$5:$L$204,财务流水!$B$5:$B$204,"2026-08",财务流水!$C$5:$C$204,"支出",财务流水!$D$5:$D$204,$A8,财务流水!$F$5:$F$204,$B8)</f>
        <v>0</v>
      </c>
      <c r="L8" s="29">
        <f>SUMIFS(财务流水!$L$5:$L$204,财务流水!$B$5:$B$204,"2026-09",财务流水!$C$5:$C$204,"支出",财务流水!$D$5:$D$204,$A8,财务流水!$F$5:$F$204,$B8)</f>
        <v>0</v>
      </c>
      <c r="M8" s="29">
        <f>SUMIFS(财务流水!$L$5:$L$204,财务流水!$B$5:$B$204,"2026-10",财务流水!$C$5:$C$204,"支出",财务流水!$D$5:$D$204,$A8,财务流水!$F$5:$F$204,$B8)</f>
        <v>0</v>
      </c>
      <c r="N8" s="29">
        <f>SUMIFS(财务流水!$L$5:$L$204,财务流水!$B$5:$B$204,"2026-11",财务流水!$C$5:$C$204,"支出",财务流水!$D$5:$D$204,$A8,财务流水!$F$5:$F$204,$B8)</f>
        <v>0</v>
      </c>
      <c r="O8" s="29">
        <f>SUMIFS(财务流水!$L$5:$L$204,财务流水!$B$5:$B$204,"2026-12",财务流水!$C$5:$C$204,"支出",财务流水!$D$5:$D$204,$A8,财务流水!$F$5:$F$204,$B8)</f>
        <v>0</v>
      </c>
      <c r="P8" s="29">
        <f t="shared" si="0"/>
        <v>8600</v>
      </c>
      <c r="Q8" s="29">
        <f t="shared" si="1"/>
        <v>111400</v>
      </c>
      <c r="R8" s="30">
        <f t="shared" si="2"/>
        <v>7.166666666666667E-2</v>
      </c>
      <c r="S8" s="30">
        <f t="shared" si="3"/>
        <v>0.58333333333333337</v>
      </c>
      <c r="T8" s="31" t="str">
        <f t="shared" si="4"/>
        <v>低于进度</v>
      </c>
      <c r="U8" s="3" t="s">
        <v>40</v>
      </c>
    </row>
    <row r="9" spans="1:21" ht="16.5">
      <c r="A9" s="3" t="s">
        <v>54</v>
      </c>
      <c r="B9" s="3" t="s">
        <v>61</v>
      </c>
      <c r="C9" s="28">
        <v>900000</v>
      </c>
      <c r="D9" s="29">
        <f>SUMIFS(财务流水!$L$5:$L$204,财务流水!$B$5:$B$204,"2026-01",财务流水!$C$5:$C$204,"支出",财务流水!$D$5:$D$204,$A9,财务流水!$F$5:$F$204,$B9)</f>
        <v>0</v>
      </c>
      <c r="E9" s="29">
        <f>SUMIFS(财务流水!$L$5:$L$204,财务流水!$B$5:$B$204,"2026-02",财务流水!$C$5:$C$204,"支出",财务流水!$D$5:$D$204,$A9,财务流水!$F$5:$F$204,$B9)</f>
        <v>0</v>
      </c>
      <c r="F9" s="29">
        <f>SUMIFS(财务流水!$L$5:$L$204,财务流水!$B$5:$B$204,"2026-03",财务流水!$C$5:$C$204,"支出",财务流水!$D$5:$D$204,$A9,财务流水!$F$5:$F$204,$B9)</f>
        <v>185000</v>
      </c>
      <c r="G9" s="29">
        <f>SUMIFS(财务流水!$L$5:$L$204,财务流水!$B$5:$B$204,"2026-04",财务流水!$C$5:$C$204,"支出",财务流水!$D$5:$D$204,$A9,财务流水!$F$5:$F$204,$B9)</f>
        <v>0</v>
      </c>
      <c r="H9" s="29">
        <f>SUMIFS(财务流水!$L$5:$L$204,财务流水!$B$5:$B$204,"2026-05",财务流水!$C$5:$C$204,"支出",财务流水!$D$5:$D$204,$A9,财务流水!$F$5:$F$204,$B9)</f>
        <v>0</v>
      </c>
      <c r="I9" s="29">
        <f>SUMIFS(财务流水!$L$5:$L$204,财务流水!$B$5:$B$204,"2026-06",财务流水!$C$5:$C$204,"支出",财务流水!$D$5:$D$204,$A9,财务流水!$F$5:$F$204,$B9)</f>
        <v>0</v>
      </c>
      <c r="J9" s="29">
        <f>SUMIFS(财务流水!$L$5:$L$204,财务流水!$B$5:$B$204,"2026-07",财务流水!$C$5:$C$204,"支出",财务流水!$D$5:$D$204,$A9,财务流水!$F$5:$F$204,$B9)</f>
        <v>0</v>
      </c>
      <c r="K9" s="29">
        <f>SUMIFS(财务流水!$L$5:$L$204,财务流水!$B$5:$B$204,"2026-08",财务流水!$C$5:$C$204,"支出",财务流水!$D$5:$D$204,$A9,财务流水!$F$5:$F$204,$B9)</f>
        <v>0</v>
      </c>
      <c r="L9" s="29">
        <f>SUMIFS(财务流水!$L$5:$L$204,财务流水!$B$5:$B$204,"2026-09",财务流水!$C$5:$C$204,"支出",财务流水!$D$5:$D$204,$A9,财务流水!$F$5:$F$204,$B9)</f>
        <v>0</v>
      </c>
      <c r="M9" s="29">
        <f>SUMIFS(财务流水!$L$5:$L$204,财务流水!$B$5:$B$204,"2026-10",财务流水!$C$5:$C$204,"支出",财务流水!$D$5:$D$204,$A9,财务流水!$F$5:$F$204,$B9)</f>
        <v>0</v>
      </c>
      <c r="N9" s="29">
        <f>SUMIFS(财务流水!$L$5:$L$204,财务流水!$B$5:$B$204,"2026-11",财务流水!$C$5:$C$204,"支出",财务流水!$D$5:$D$204,$A9,财务流水!$F$5:$F$204,$B9)</f>
        <v>0</v>
      </c>
      <c r="O9" s="29">
        <f>SUMIFS(财务流水!$L$5:$L$204,财务流水!$B$5:$B$204,"2026-12",财务流水!$C$5:$C$204,"支出",财务流水!$D$5:$D$204,$A9,财务流水!$F$5:$F$204,$B9)</f>
        <v>0</v>
      </c>
      <c r="P9" s="29">
        <f t="shared" si="0"/>
        <v>185000</v>
      </c>
      <c r="Q9" s="29">
        <f t="shared" si="1"/>
        <v>715000</v>
      </c>
      <c r="R9" s="30">
        <f t="shared" si="2"/>
        <v>0.20555555555555555</v>
      </c>
      <c r="S9" s="30">
        <f t="shared" si="3"/>
        <v>0.58333333333333337</v>
      </c>
      <c r="T9" s="31" t="str">
        <f t="shared" si="4"/>
        <v>低于进度</v>
      </c>
      <c r="U9" s="3" t="s">
        <v>60</v>
      </c>
    </row>
    <row r="10" spans="1:21" ht="16.5">
      <c r="A10" s="3" t="s">
        <v>47</v>
      </c>
      <c r="B10" s="3" t="s">
        <v>49</v>
      </c>
      <c r="C10" s="28">
        <v>360000</v>
      </c>
      <c r="D10" s="29">
        <f>SUMIFS(财务流水!$L$5:$L$204,财务流水!$B$5:$B$204,"2026-01",财务流水!$C$5:$C$204,"支出",财务流水!$D$5:$D$204,$A10,财务流水!$F$5:$F$204,$B10)</f>
        <v>0</v>
      </c>
      <c r="E10" s="29">
        <f>SUMIFS(财务流水!$L$5:$L$204,财务流水!$B$5:$B$204,"2026-02",财务流水!$C$5:$C$204,"支出",财务流水!$D$5:$D$204,$A10,财务流水!$F$5:$F$204,$B10)</f>
        <v>26000</v>
      </c>
      <c r="F10" s="29">
        <f>SUMIFS(财务流水!$L$5:$L$204,财务流水!$B$5:$B$204,"2026-03",财务流水!$C$5:$C$204,"支出",财务流水!$D$5:$D$204,$A10,财务流水!$F$5:$F$204,$B10)</f>
        <v>0</v>
      </c>
      <c r="G10" s="29">
        <f>SUMIFS(财务流水!$L$5:$L$204,财务流水!$B$5:$B$204,"2026-04",财务流水!$C$5:$C$204,"支出",财务流水!$D$5:$D$204,$A10,财务流水!$F$5:$F$204,$B10)</f>
        <v>0</v>
      </c>
      <c r="H10" s="29">
        <f>SUMIFS(财务流水!$L$5:$L$204,财务流水!$B$5:$B$204,"2026-05",财务流水!$C$5:$C$204,"支出",财务流水!$D$5:$D$204,$A10,财务流水!$F$5:$F$204,$B10)</f>
        <v>0</v>
      </c>
      <c r="I10" s="29">
        <f>SUMIFS(财务流水!$L$5:$L$204,财务流水!$B$5:$B$204,"2026-06",财务流水!$C$5:$C$204,"支出",财务流水!$D$5:$D$204,$A10,财务流水!$F$5:$F$204,$B10)</f>
        <v>0</v>
      </c>
      <c r="J10" s="29">
        <f>SUMIFS(财务流水!$L$5:$L$204,财务流水!$B$5:$B$204,"2026-07",财务流水!$C$5:$C$204,"支出",财务流水!$D$5:$D$204,$A10,财务流水!$F$5:$F$204,$B10)</f>
        <v>18000</v>
      </c>
      <c r="K10" s="29">
        <f>SUMIFS(财务流水!$L$5:$L$204,财务流水!$B$5:$B$204,"2026-08",财务流水!$C$5:$C$204,"支出",财务流水!$D$5:$D$204,$A10,财务流水!$F$5:$F$204,$B10)</f>
        <v>0</v>
      </c>
      <c r="L10" s="29">
        <f>SUMIFS(财务流水!$L$5:$L$204,财务流水!$B$5:$B$204,"2026-09",财务流水!$C$5:$C$204,"支出",财务流水!$D$5:$D$204,$A10,财务流水!$F$5:$F$204,$B10)</f>
        <v>0</v>
      </c>
      <c r="M10" s="29">
        <f>SUMIFS(财务流水!$L$5:$L$204,财务流水!$B$5:$B$204,"2026-10",财务流水!$C$5:$C$204,"支出",财务流水!$D$5:$D$204,$A10,财务流水!$F$5:$F$204,$B10)</f>
        <v>0</v>
      </c>
      <c r="N10" s="29">
        <f>SUMIFS(财务流水!$L$5:$L$204,财务流水!$B$5:$B$204,"2026-11",财务流水!$C$5:$C$204,"支出",财务流水!$D$5:$D$204,$A10,财务流水!$F$5:$F$204,$B10)</f>
        <v>0</v>
      </c>
      <c r="O10" s="29">
        <f>SUMIFS(财务流水!$L$5:$L$204,财务流水!$B$5:$B$204,"2026-12",财务流水!$C$5:$C$204,"支出",财务流水!$D$5:$D$204,$A10,财务流水!$F$5:$F$204,$B10)</f>
        <v>0</v>
      </c>
      <c r="P10" s="29">
        <f t="shared" si="0"/>
        <v>44000</v>
      </c>
      <c r="Q10" s="29">
        <f t="shared" si="1"/>
        <v>316000</v>
      </c>
      <c r="R10" s="30">
        <f t="shared" si="2"/>
        <v>0.12222222222222222</v>
      </c>
      <c r="S10" s="30">
        <f t="shared" si="3"/>
        <v>0.58333333333333337</v>
      </c>
      <c r="T10" s="31" t="str">
        <f t="shared" si="4"/>
        <v>低于进度</v>
      </c>
      <c r="U10" s="3" t="s">
        <v>53</v>
      </c>
    </row>
    <row r="11" spans="1:21" ht="16.5">
      <c r="A11" s="3" t="s">
        <v>64</v>
      </c>
      <c r="B11" s="3" t="s">
        <v>66</v>
      </c>
      <c r="C11" s="28">
        <v>180000</v>
      </c>
      <c r="D11" s="29">
        <f>SUMIFS(财务流水!$L$5:$L$204,财务流水!$B$5:$B$204,"2026-01",财务流水!$C$5:$C$204,"支出",财务流水!$D$5:$D$204,$A11,财务流水!$F$5:$F$204,$B11)</f>
        <v>0</v>
      </c>
      <c r="E11" s="29">
        <f>SUMIFS(财务流水!$L$5:$L$204,财务流水!$B$5:$B$204,"2026-02",财务流水!$C$5:$C$204,"支出",财务流水!$D$5:$D$204,$A11,财务流水!$F$5:$F$204,$B11)</f>
        <v>0</v>
      </c>
      <c r="F11" s="29">
        <f>SUMIFS(财务流水!$L$5:$L$204,财务流水!$B$5:$B$204,"2026-03",财务流水!$C$5:$C$204,"支出",财务流水!$D$5:$D$204,$A11,财务流水!$F$5:$F$204,$B11)</f>
        <v>0</v>
      </c>
      <c r="G11" s="29">
        <f>SUMIFS(财务流水!$L$5:$L$204,财务流水!$B$5:$B$204,"2026-04",财务流水!$C$5:$C$204,"支出",财务流水!$D$5:$D$204,$A11,财务流水!$F$5:$F$204,$B11)</f>
        <v>12800</v>
      </c>
      <c r="H11" s="29">
        <f>SUMIFS(财务流水!$L$5:$L$204,财务流水!$B$5:$B$204,"2026-05",财务流水!$C$5:$C$204,"支出",财务流水!$D$5:$D$204,$A11,财务流水!$F$5:$F$204,$B11)</f>
        <v>0</v>
      </c>
      <c r="I11" s="29">
        <f>SUMIFS(财务流水!$L$5:$L$204,财务流水!$B$5:$B$204,"2026-06",财务流水!$C$5:$C$204,"支出",财务流水!$D$5:$D$204,$A11,财务流水!$F$5:$F$204,$B11)</f>
        <v>0</v>
      </c>
      <c r="J11" s="29">
        <f>SUMIFS(财务流水!$L$5:$L$204,财务流水!$B$5:$B$204,"2026-07",财务流水!$C$5:$C$204,"支出",财务流水!$D$5:$D$204,$A11,财务流水!$F$5:$F$204,$B11)</f>
        <v>0</v>
      </c>
      <c r="K11" s="29">
        <f>SUMIFS(财务流水!$L$5:$L$204,财务流水!$B$5:$B$204,"2026-08",财务流水!$C$5:$C$204,"支出",财务流水!$D$5:$D$204,$A11,财务流水!$F$5:$F$204,$B11)</f>
        <v>0</v>
      </c>
      <c r="L11" s="29">
        <f>SUMIFS(财务流水!$L$5:$L$204,财务流水!$B$5:$B$204,"2026-09",财务流水!$C$5:$C$204,"支出",财务流水!$D$5:$D$204,$A11,财务流水!$F$5:$F$204,$B11)</f>
        <v>0</v>
      </c>
      <c r="M11" s="29">
        <f>SUMIFS(财务流水!$L$5:$L$204,财务流水!$B$5:$B$204,"2026-10",财务流水!$C$5:$C$204,"支出",财务流水!$D$5:$D$204,$A11,财务流水!$F$5:$F$204,$B11)</f>
        <v>0</v>
      </c>
      <c r="N11" s="29">
        <f>SUMIFS(财务流水!$L$5:$L$204,财务流水!$B$5:$B$204,"2026-11",财务流水!$C$5:$C$204,"支出",财务流水!$D$5:$D$204,$A11,财务流水!$F$5:$F$204,$B11)</f>
        <v>0</v>
      </c>
      <c r="O11" s="29">
        <f>SUMIFS(财务流水!$L$5:$L$204,财务流水!$B$5:$B$204,"2026-12",财务流水!$C$5:$C$204,"支出",财务流水!$D$5:$D$204,$A11,财务流水!$F$5:$F$204,$B11)</f>
        <v>0</v>
      </c>
      <c r="P11" s="29">
        <f t="shared" si="0"/>
        <v>12800</v>
      </c>
      <c r="Q11" s="29">
        <f t="shared" si="1"/>
        <v>167200</v>
      </c>
      <c r="R11" s="30">
        <f t="shared" si="2"/>
        <v>7.1111111111111111E-2</v>
      </c>
      <c r="S11" s="30">
        <f t="shared" si="3"/>
        <v>0.58333333333333337</v>
      </c>
      <c r="T11" s="31" t="str">
        <f t="shared" si="4"/>
        <v>低于进度</v>
      </c>
      <c r="U11" s="3" t="s">
        <v>69</v>
      </c>
    </row>
    <row r="12" spans="1:21" ht="16.5">
      <c r="A12" s="3" t="s">
        <v>85</v>
      </c>
      <c r="B12" s="3" t="s">
        <v>86</v>
      </c>
      <c r="C12" s="28">
        <v>240000</v>
      </c>
      <c r="D12" s="29">
        <f>SUMIFS(财务流水!$L$5:$L$204,财务流水!$B$5:$B$204,"2026-01",财务流水!$C$5:$C$204,"支出",财务流水!$D$5:$D$204,$A12,财务流水!$F$5:$F$204,$B12)</f>
        <v>0</v>
      </c>
      <c r="E12" s="29">
        <f>SUMIFS(财务流水!$L$5:$L$204,财务流水!$B$5:$B$204,"2026-02",财务流水!$C$5:$C$204,"支出",财务流水!$D$5:$D$204,$A12,财务流水!$F$5:$F$204,$B12)</f>
        <v>0</v>
      </c>
      <c r="F12" s="29">
        <f>SUMIFS(财务流水!$L$5:$L$204,财务流水!$B$5:$B$204,"2026-03",财务流水!$C$5:$C$204,"支出",财务流水!$D$5:$D$204,$A12,财务流水!$F$5:$F$204,$B12)</f>
        <v>0</v>
      </c>
      <c r="G12" s="29">
        <f>SUMIFS(财务流水!$L$5:$L$204,财务流水!$B$5:$B$204,"2026-04",财务流水!$C$5:$C$204,"支出",财务流水!$D$5:$D$204,$A12,财务流水!$F$5:$F$204,$B12)</f>
        <v>0</v>
      </c>
      <c r="H12" s="29">
        <f>SUMIFS(财务流水!$L$5:$L$204,财务流水!$B$5:$B$204,"2026-05",财务流水!$C$5:$C$204,"支出",财务流水!$D$5:$D$204,$A12,财务流水!$F$5:$F$204,$B12)</f>
        <v>0</v>
      </c>
      <c r="I12" s="29">
        <f>SUMIFS(财务流水!$L$5:$L$204,财务流水!$B$5:$B$204,"2026-06",财务流水!$C$5:$C$204,"支出",财务流水!$D$5:$D$204,$A12,财务流水!$F$5:$F$204,$B12)</f>
        <v>32000</v>
      </c>
      <c r="J12" s="29">
        <f>SUMIFS(财务流水!$L$5:$L$204,财务流水!$B$5:$B$204,"2026-07",财务流水!$C$5:$C$204,"支出",财务流水!$D$5:$D$204,$A12,财务流水!$F$5:$F$204,$B12)</f>
        <v>0</v>
      </c>
      <c r="K12" s="29">
        <f>SUMIFS(财务流水!$L$5:$L$204,财务流水!$B$5:$B$204,"2026-08",财务流水!$C$5:$C$204,"支出",财务流水!$D$5:$D$204,$A12,财务流水!$F$5:$F$204,$B12)</f>
        <v>0</v>
      </c>
      <c r="L12" s="29">
        <f>SUMIFS(财务流水!$L$5:$L$204,财务流水!$B$5:$B$204,"2026-09",财务流水!$C$5:$C$204,"支出",财务流水!$D$5:$D$204,$A12,财务流水!$F$5:$F$204,$B12)</f>
        <v>0</v>
      </c>
      <c r="M12" s="29">
        <f>SUMIFS(财务流水!$L$5:$L$204,财务流水!$B$5:$B$204,"2026-10",财务流水!$C$5:$C$204,"支出",财务流水!$D$5:$D$204,$A12,财务流水!$F$5:$F$204,$B12)</f>
        <v>0</v>
      </c>
      <c r="N12" s="29">
        <f>SUMIFS(财务流水!$L$5:$L$204,财务流水!$B$5:$B$204,"2026-11",财务流水!$C$5:$C$204,"支出",财务流水!$D$5:$D$204,$A12,财务流水!$F$5:$F$204,$B12)</f>
        <v>0</v>
      </c>
      <c r="O12" s="29">
        <f>SUMIFS(财务流水!$L$5:$L$204,财务流水!$B$5:$B$204,"2026-12",财务流水!$C$5:$C$204,"支出",财务流水!$D$5:$D$204,$A12,财务流水!$F$5:$F$204,$B12)</f>
        <v>0</v>
      </c>
      <c r="P12" s="29">
        <f t="shared" si="0"/>
        <v>32000</v>
      </c>
      <c r="Q12" s="29">
        <f t="shared" si="1"/>
        <v>208000</v>
      </c>
      <c r="R12" s="30">
        <f t="shared" si="2"/>
        <v>0.13333333333333333</v>
      </c>
      <c r="S12" s="30">
        <f t="shared" si="3"/>
        <v>0.58333333333333337</v>
      </c>
      <c r="T12" s="31" t="str">
        <f t="shared" si="4"/>
        <v>低于进度</v>
      </c>
      <c r="U12" s="3" t="s">
        <v>89</v>
      </c>
    </row>
    <row r="13" spans="1:21" ht="16.5">
      <c r="A13" s="46" t="s">
        <v>117</v>
      </c>
      <c r="B13" s="46"/>
      <c r="C13" s="33">
        <f t="shared" ref="C13:Q13" si="5">SUM(C5:C12)</f>
        <v>4080000</v>
      </c>
      <c r="D13" s="33">
        <f t="shared" si="5"/>
        <v>130000</v>
      </c>
      <c r="E13" s="33">
        <f t="shared" si="5"/>
        <v>26000</v>
      </c>
      <c r="F13" s="33">
        <f t="shared" si="5"/>
        <v>185000</v>
      </c>
      <c r="G13" s="33">
        <f t="shared" si="5"/>
        <v>12800</v>
      </c>
      <c r="H13" s="33">
        <f t="shared" si="5"/>
        <v>54600</v>
      </c>
      <c r="I13" s="33">
        <f t="shared" si="5"/>
        <v>32000</v>
      </c>
      <c r="J13" s="33">
        <f t="shared" si="5"/>
        <v>168000</v>
      </c>
      <c r="K13" s="33">
        <f t="shared" si="5"/>
        <v>0</v>
      </c>
      <c r="L13" s="33">
        <f t="shared" si="5"/>
        <v>0</v>
      </c>
      <c r="M13" s="33">
        <f t="shared" si="5"/>
        <v>0</v>
      </c>
      <c r="N13" s="33">
        <f t="shared" si="5"/>
        <v>0</v>
      </c>
      <c r="O13" s="33">
        <f t="shared" si="5"/>
        <v>0</v>
      </c>
      <c r="P13" s="33">
        <f t="shared" si="5"/>
        <v>608400</v>
      </c>
      <c r="Q13" s="33">
        <f t="shared" si="5"/>
        <v>3471600</v>
      </c>
      <c r="R13" s="34">
        <f t="shared" si="2"/>
        <v>0.14911764705882352</v>
      </c>
      <c r="S13" s="34">
        <f t="shared" si="3"/>
        <v>0.58333333333333337</v>
      </c>
      <c r="T13" s="32" t="str">
        <f t="shared" si="4"/>
        <v>低于进度</v>
      </c>
      <c r="U13" s="32"/>
    </row>
  </sheetData>
  <mergeCells count="3">
    <mergeCell ref="A1:U2"/>
    <mergeCell ref="A3:U3"/>
    <mergeCell ref="A13:B13"/>
  </mergeCells>
  <phoneticPr fontId="12" type="noConversion"/>
  <conditionalFormatting sqref="T5:T13">
    <cfRule type="containsText" dxfId="3" priority="1" operator="containsText" text="正常"/>
    <cfRule type="containsText" dxfId="2" priority="2" operator="containsText" text="超进度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3"/>
  <sheetViews>
    <sheetView showGridLines="0" workbookViewId="0"/>
  </sheetViews>
  <sheetFormatPr defaultRowHeight="14"/>
  <cols>
    <col min="1" max="1" width="14" customWidth="1"/>
    <col min="2" max="2" width="10" customWidth="1"/>
    <col min="3" max="3" width="24" customWidth="1"/>
    <col min="4" max="4" width="22" customWidth="1"/>
    <col min="5" max="7" width="15" customWidth="1"/>
    <col min="8" max="8" width="13" customWidth="1"/>
    <col min="9" max="9" width="12" customWidth="1"/>
    <col min="10" max="10" width="11" customWidth="1"/>
    <col min="11" max="11" width="12" customWidth="1"/>
    <col min="12" max="12" width="28" customWidth="1"/>
  </cols>
  <sheetData>
    <row r="1" spans="1:12" ht="34" customHeight="1">
      <c r="A1" s="42" t="s">
        <v>118</v>
      </c>
      <c r="B1" s="42" t="s">
        <v>118</v>
      </c>
      <c r="C1" s="42" t="s">
        <v>118</v>
      </c>
      <c r="D1" s="42" t="s">
        <v>118</v>
      </c>
      <c r="E1" s="42" t="s">
        <v>118</v>
      </c>
      <c r="F1" s="42" t="s">
        <v>118</v>
      </c>
      <c r="G1" s="42" t="s">
        <v>118</v>
      </c>
      <c r="H1" s="42" t="s">
        <v>118</v>
      </c>
      <c r="I1" s="42" t="s">
        <v>118</v>
      </c>
      <c r="J1" s="42" t="s">
        <v>118</v>
      </c>
      <c r="K1" s="42" t="s">
        <v>118</v>
      </c>
      <c r="L1" s="42" t="s">
        <v>118</v>
      </c>
    </row>
    <row r="2" spans="1:12" ht="34" customHeight="1">
      <c r="A2" s="42" t="s">
        <v>118</v>
      </c>
      <c r="B2" s="42" t="s">
        <v>118</v>
      </c>
      <c r="C2" s="42" t="s">
        <v>118</v>
      </c>
      <c r="D2" s="42" t="s">
        <v>118</v>
      </c>
      <c r="E2" s="42" t="s">
        <v>118</v>
      </c>
      <c r="F2" s="42" t="s">
        <v>118</v>
      </c>
      <c r="G2" s="42" t="s">
        <v>118</v>
      </c>
      <c r="H2" s="42" t="s">
        <v>118</v>
      </c>
      <c r="I2" s="42" t="s">
        <v>118</v>
      </c>
      <c r="J2" s="42" t="s">
        <v>118</v>
      </c>
      <c r="K2" s="42" t="s">
        <v>118</v>
      </c>
      <c r="L2" s="42" t="s">
        <v>118</v>
      </c>
    </row>
    <row r="3" spans="1:12" ht="30" customHeight="1">
      <c r="A3" s="5" t="s">
        <v>119</v>
      </c>
      <c r="B3" s="5" t="s">
        <v>120</v>
      </c>
      <c r="C3" s="5" t="s">
        <v>12</v>
      </c>
      <c r="D3" s="5" t="s">
        <v>121</v>
      </c>
      <c r="E3" s="5" t="s">
        <v>122</v>
      </c>
      <c r="F3" s="5" t="s">
        <v>123</v>
      </c>
      <c r="G3" s="5" t="s">
        <v>124</v>
      </c>
      <c r="H3" s="5" t="s">
        <v>125</v>
      </c>
      <c r="I3" s="5" t="s">
        <v>126</v>
      </c>
      <c r="J3" s="5" t="s">
        <v>127</v>
      </c>
      <c r="K3" s="5" t="s">
        <v>0</v>
      </c>
      <c r="L3" s="5" t="s">
        <v>128</v>
      </c>
    </row>
    <row r="4" spans="1:12" ht="16.5">
      <c r="A4" s="8" t="s">
        <v>129</v>
      </c>
      <c r="B4" s="8" t="s">
        <v>130</v>
      </c>
      <c r="C4" s="8" t="s">
        <v>58</v>
      </c>
      <c r="D4" s="8" t="s">
        <v>55</v>
      </c>
      <c r="E4" s="9">
        <v>420000</v>
      </c>
      <c r="F4" s="9">
        <v>200000</v>
      </c>
      <c r="G4" s="11">
        <f t="shared" ref="G4:G35" si="0">E4-F4</f>
        <v>220000</v>
      </c>
      <c r="H4" s="6">
        <v>46203</v>
      </c>
      <c r="I4" s="7" t="str">
        <f t="shared" ref="I4:I35" ca="1" si="1">IF(A4="","",IF(G4&lt;=0,"已结清",IF(H4&lt;TODAY(),"已逾期","未到期")))</f>
        <v>已逾期</v>
      </c>
      <c r="J4" s="35">
        <f t="shared" ref="J4:J35" ca="1" si="2">IF(OR(A4="",G4&lt;=0),0,MAX(0,TODAY()-H4))</f>
        <v>19</v>
      </c>
      <c r="K4" s="8" t="s">
        <v>60</v>
      </c>
      <c r="L4" s="8" t="s">
        <v>131</v>
      </c>
    </row>
    <row r="5" spans="1:12" ht="16.5">
      <c r="A5" s="14" t="s">
        <v>132</v>
      </c>
      <c r="B5" s="14" t="s">
        <v>130</v>
      </c>
      <c r="C5" s="14" t="s">
        <v>84</v>
      </c>
      <c r="D5" s="14" t="s">
        <v>82</v>
      </c>
      <c r="E5" s="15">
        <v>780000</v>
      </c>
      <c r="F5" s="15">
        <v>560000</v>
      </c>
      <c r="G5" s="17">
        <f t="shared" si="0"/>
        <v>220000</v>
      </c>
      <c r="H5" s="12">
        <v>46223</v>
      </c>
      <c r="I5" s="13" t="str">
        <f t="shared" ca="1" si="1"/>
        <v>未到期</v>
      </c>
      <c r="J5" s="36">
        <f t="shared" ca="1" si="2"/>
        <v>0</v>
      </c>
      <c r="K5" s="14" t="s">
        <v>60</v>
      </c>
      <c r="L5" s="14" t="s">
        <v>133</v>
      </c>
    </row>
    <row r="6" spans="1:12" ht="16.5">
      <c r="A6" s="14" t="s">
        <v>134</v>
      </c>
      <c r="B6" s="14" t="s">
        <v>130</v>
      </c>
      <c r="C6" s="14" t="s">
        <v>27</v>
      </c>
      <c r="D6" s="14" t="s">
        <v>135</v>
      </c>
      <c r="E6" s="15">
        <v>335000</v>
      </c>
      <c r="F6" s="15">
        <v>335000</v>
      </c>
      <c r="G6" s="17">
        <f t="shared" si="0"/>
        <v>0</v>
      </c>
      <c r="H6" s="12">
        <v>46213</v>
      </c>
      <c r="I6" s="13" t="str">
        <f t="shared" ca="1" si="1"/>
        <v>已结清</v>
      </c>
      <c r="J6" s="36">
        <f t="shared" ca="1" si="2"/>
        <v>0</v>
      </c>
      <c r="K6" s="14" t="s">
        <v>31</v>
      </c>
      <c r="L6" s="14" t="s">
        <v>136</v>
      </c>
    </row>
    <row r="7" spans="1:12" ht="16.5">
      <c r="A7" s="14" t="s">
        <v>137</v>
      </c>
      <c r="B7" s="14" t="s">
        <v>138</v>
      </c>
      <c r="C7" s="14" t="s">
        <v>37</v>
      </c>
      <c r="D7" s="14" t="s">
        <v>139</v>
      </c>
      <c r="E7" s="15">
        <v>42000</v>
      </c>
      <c r="F7" s="15">
        <v>0</v>
      </c>
      <c r="G7" s="17">
        <f t="shared" si="0"/>
        <v>42000</v>
      </c>
      <c r="H7" s="12">
        <v>46234</v>
      </c>
      <c r="I7" s="13" t="str">
        <f t="shared" ca="1" si="1"/>
        <v>未到期</v>
      </c>
      <c r="J7" s="36">
        <f t="shared" ca="1" si="2"/>
        <v>0</v>
      </c>
      <c r="K7" s="14" t="s">
        <v>40</v>
      </c>
      <c r="L7" s="14" t="s">
        <v>140</v>
      </c>
    </row>
    <row r="8" spans="1:12" ht="16.5">
      <c r="A8" s="14" t="s">
        <v>141</v>
      </c>
      <c r="B8" s="14" t="s">
        <v>138</v>
      </c>
      <c r="C8" s="14" t="s">
        <v>94</v>
      </c>
      <c r="D8" s="14" t="s">
        <v>142</v>
      </c>
      <c r="E8" s="15">
        <v>18000</v>
      </c>
      <c r="F8" s="15">
        <v>0</v>
      </c>
      <c r="G8" s="17">
        <f t="shared" si="0"/>
        <v>18000</v>
      </c>
      <c r="H8" s="12">
        <v>46228</v>
      </c>
      <c r="I8" s="13" t="str">
        <f t="shared" ca="1" si="1"/>
        <v>未到期</v>
      </c>
      <c r="J8" s="36">
        <f t="shared" ca="1" si="2"/>
        <v>0</v>
      </c>
      <c r="K8" s="14" t="s">
        <v>53</v>
      </c>
      <c r="L8" s="14" t="s">
        <v>143</v>
      </c>
    </row>
    <row r="9" spans="1:12" ht="16.5">
      <c r="A9" s="14" t="s">
        <v>144</v>
      </c>
      <c r="B9" s="14" t="s">
        <v>138</v>
      </c>
      <c r="C9" s="14" t="s">
        <v>79</v>
      </c>
      <c r="D9" s="14" t="s">
        <v>145</v>
      </c>
      <c r="E9" s="15">
        <v>46000</v>
      </c>
      <c r="F9" s="15">
        <v>0</v>
      </c>
      <c r="G9" s="17">
        <f t="shared" si="0"/>
        <v>46000</v>
      </c>
      <c r="H9" s="12">
        <v>46188</v>
      </c>
      <c r="I9" s="13" t="str">
        <f t="shared" ca="1" si="1"/>
        <v>已逾期</v>
      </c>
      <c r="J9" s="36">
        <f t="shared" ca="1" si="2"/>
        <v>34</v>
      </c>
      <c r="K9" s="14" t="s">
        <v>44</v>
      </c>
      <c r="L9" s="14" t="s">
        <v>146</v>
      </c>
    </row>
    <row r="10" spans="1:12" ht="16.5">
      <c r="A10" s="14"/>
      <c r="B10" s="14"/>
      <c r="C10" s="14"/>
      <c r="D10" s="14"/>
      <c r="E10" s="15"/>
      <c r="F10" s="15"/>
      <c r="G10" s="17">
        <f t="shared" si="0"/>
        <v>0</v>
      </c>
      <c r="H10" s="12"/>
      <c r="I10" s="13" t="str">
        <f t="shared" ca="1" si="1"/>
        <v/>
      </c>
      <c r="J10" s="36">
        <f t="shared" ca="1" si="2"/>
        <v>0</v>
      </c>
      <c r="K10" s="14"/>
      <c r="L10" s="14"/>
    </row>
    <row r="11" spans="1:12" ht="16.5">
      <c r="A11" s="14"/>
      <c r="B11" s="14"/>
      <c r="C11" s="14"/>
      <c r="D11" s="14"/>
      <c r="E11" s="15"/>
      <c r="F11" s="15"/>
      <c r="G11" s="17">
        <f t="shared" si="0"/>
        <v>0</v>
      </c>
      <c r="H11" s="12"/>
      <c r="I11" s="13" t="str">
        <f t="shared" ca="1" si="1"/>
        <v/>
      </c>
      <c r="J11" s="36">
        <f t="shared" ca="1" si="2"/>
        <v>0</v>
      </c>
      <c r="K11" s="14"/>
      <c r="L11" s="14"/>
    </row>
    <row r="12" spans="1:12" ht="16.5">
      <c r="A12" s="14"/>
      <c r="B12" s="14"/>
      <c r="C12" s="14"/>
      <c r="D12" s="14"/>
      <c r="E12" s="15"/>
      <c r="F12" s="15"/>
      <c r="G12" s="17">
        <f t="shared" si="0"/>
        <v>0</v>
      </c>
      <c r="H12" s="12"/>
      <c r="I12" s="13" t="str">
        <f t="shared" ca="1" si="1"/>
        <v/>
      </c>
      <c r="J12" s="36">
        <f t="shared" ca="1" si="2"/>
        <v>0</v>
      </c>
      <c r="K12" s="14"/>
      <c r="L12" s="14"/>
    </row>
    <row r="13" spans="1:12" ht="16.5">
      <c r="A13" s="14"/>
      <c r="B13" s="14"/>
      <c r="C13" s="14"/>
      <c r="D13" s="14"/>
      <c r="E13" s="15"/>
      <c r="F13" s="15"/>
      <c r="G13" s="17">
        <f t="shared" si="0"/>
        <v>0</v>
      </c>
      <c r="H13" s="12"/>
      <c r="I13" s="13" t="str">
        <f t="shared" ca="1" si="1"/>
        <v/>
      </c>
      <c r="J13" s="36">
        <f t="shared" ca="1" si="2"/>
        <v>0</v>
      </c>
      <c r="K13" s="14"/>
      <c r="L13" s="14"/>
    </row>
    <row r="14" spans="1:12" ht="16.5">
      <c r="A14" s="14"/>
      <c r="B14" s="14"/>
      <c r="C14" s="14"/>
      <c r="D14" s="14"/>
      <c r="E14" s="15"/>
      <c r="F14" s="15"/>
      <c r="G14" s="17">
        <f t="shared" si="0"/>
        <v>0</v>
      </c>
      <c r="H14" s="12"/>
      <c r="I14" s="13" t="str">
        <f t="shared" ca="1" si="1"/>
        <v/>
      </c>
      <c r="J14" s="36">
        <f t="shared" ca="1" si="2"/>
        <v>0</v>
      </c>
      <c r="K14" s="14"/>
      <c r="L14" s="14"/>
    </row>
    <row r="15" spans="1:12" ht="16.5">
      <c r="A15" s="14"/>
      <c r="B15" s="14"/>
      <c r="C15" s="14"/>
      <c r="D15" s="14"/>
      <c r="E15" s="15"/>
      <c r="F15" s="15"/>
      <c r="G15" s="17">
        <f t="shared" si="0"/>
        <v>0</v>
      </c>
      <c r="H15" s="12"/>
      <c r="I15" s="13" t="str">
        <f t="shared" ca="1" si="1"/>
        <v/>
      </c>
      <c r="J15" s="36">
        <f t="shared" ca="1" si="2"/>
        <v>0</v>
      </c>
      <c r="K15" s="14"/>
      <c r="L15" s="14"/>
    </row>
    <row r="16" spans="1:12" ht="16.5">
      <c r="A16" s="14"/>
      <c r="B16" s="14"/>
      <c r="C16" s="14"/>
      <c r="D16" s="14"/>
      <c r="E16" s="15"/>
      <c r="F16" s="15"/>
      <c r="G16" s="17">
        <f t="shared" si="0"/>
        <v>0</v>
      </c>
      <c r="H16" s="12"/>
      <c r="I16" s="13" t="str">
        <f t="shared" ca="1" si="1"/>
        <v/>
      </c>
      <c r="J16" s="36">
        <f t="shared" ca="1" si="2"/>
        <v>0</v>
      </c>
      <c r="K16" s="14"/>
      <c r="L16" s="14"/>
    </row>
    <row r="17" spans="1:12" ht="16.5">
      <c r="A17" s="14"/>
      <c r="B17" s="14"/>
      <c r="C17" s="14"/>
      <c r="D17" s="14"/>
      <c r="E17" s="15"/>
      <c r="F17" s="15"/>
      <c r="G17" s="17">
        <f t="shared" si="0"/>
        <v>0</v>
      </c>
      <c r="H17" s="12"/>
      <c r="I17" s="13" t="str">
        <f t="shared" ca="1" si="1"/>
        <v/>
      </c>
      <c r="J17" s="36">
        <f t="shared" ca="1" si="2"/>
        <v>0</v>
      </c>
      <c r="K17" s="14"/>
      <c r="L17" s="14"/>
    </row>
    <row r="18" spans="1:12" ht="16.5">
      <c r="A18" s="14"/>
      <c r="B18" s="14"/>
      <c r="C18" s="14"/>
      <c r="D18" s="14"/>
      <c r="E18" s="15"/>
      <c r="F18" s="15"/>
      <c r="G18" s="17">
        <f t="shared" si="0"/>
        <v>0</v>
      </c>
      <c r="H18" s="12"/>
      <c r="I18" s="13" t="str">
        <f t="shared" ca="1" si="1"/>
        <v/>
      </c>
      <c r="J18" s="36">
        <f t="shared" ca="1" si="2"/>
        <v>0</v>
      </c>
      <c r="K18" s="14"/>
      <c r="L18" s="14"/>
    </row>
    <row r="19" spans="1:12" ht="16.5">
      <c r="A19" s="14"/>
      <c r="B19" s="14"/>
      <c r="C19" s="14"/>
      <c r="D19" s="14"/>
      <c r="E19" s="15"/>
      <c r="F19" s="15"/>
      <c r="G19" s="17">
        <f t="shared" si="0"/>
        <v>0</v>
      </c>
      <c r="H19" s="12"/>
      <c r="I19" s="13" t="str">
        <f t="shared" ca="1" si="1"/>
        <v/>
      </c>
      <c r="J19" s="36">
        <f t="shared" ca="1" si="2"/>
        <v>0</v>
      </c>
      <c r="K19" s="14"/>
      <c r="L19" s="14"/>
    </row>
    <row r="20" spans="1:12" ht="16.5">
      <c r="A20" s="14"/>
      <c r="B20" s="14"/>
      <c r="C20" s="14"/>
      <c r="D20" s="14"/>
      <c r="E20" s="15"/>
      <c r="F20" s="15"/>
      <c r="G20" s="17">
        <f t="shared" si="0"/>
        <v>0</v>
      </c>
      <c r="H20" s="12"/>
      <c r="I20" s="13" t="str">
        <f t="shared" ca="1" si="1"/>
        <v/>
      </c>
      <c r="J20" s="36">
        <f t="shared" ca="1" si="2"/>
        <v>0</v>
      </c>
      <c r="K20" s="14"/>
      <c r="L20" s="14"/>
    </row>
    <row r="21" spans="1:12" ht="16.5">
      <c r="A21" s="14"/>
      <c r="B21" s="14"/>
      <c r="C21" s="14"/>
      <c r="D21" s="14"/>
      <c r="E21" s="15"/>
      <c r="F21" s="15"/>
      <c r="G21" s="17">
        <f t="shared" si="0"/>
        <v>0</v>
      </c>
      <c r="H21" s="12"/>
      <c r="I21" s="13" t="str">
        <f t="shared" ca="1" si="1"/>
        <v/>
      </c>
      <c r="J21" s="36">
        <f t="shared" ca="1" si="2"/>
        <v>0</v>
      </c>
      <c r="K21" s="14"/>
      <c r="L21" s="14"/>
    </row>
    <row r="22" spans="1:12" ht="16.5">
      <c r="A22" s="14"/>
      <c r="B22" s="14"/>
      <c r="C22" s="14"/>
      <c r="D22" s="14"/>
      <c r="E22" s="15"/>
      <c r="F22" s="15"/>
      <c r="G22" s="17">
        <f t="shared" si="0"/>
        <v>0</v>
      </c>
      <c r="H22" s="12"/>
      <c r="I22" s="13" t="str">
        <f t="shared" ca="1" si="1"/>
        <v/>
      </c>
      <c r="J22" s="36">
        <f t="shared" ca="1" si="2"/>
        <v>0</v>
      </c>
      <c r="K22" s="14"/>
      <c r="L22" s="14"/>
    </row>
    <row r="23" spans="1:12" ht="16.5">
      <c r="A23" s="14"/>
      <c r="B23" s="14"/>
      <c r="C23" s="14"/>
      <c r="D23" s="14"/>
      <c r="E23" s="15"/>
      <c r="F23" s="15"/>
      <c r="G23" s="17">
        <f t="shared" si="0"/>
        <v>0</v>
      </c>
      <c r="H23" s="12"/>
      <c r="I23" s="13" t="str">
        <f t="shared" ca="1" si="1"/>
        <v/>
      </c>
      <c r="J23" s="36">
        <f t="shared" ca="1" si="2"/>
        <v>0</v>
      </c>
      <c r="K23" s="14"/>
      <c r="L23" s="14"/>
    </row>
    <row r="24" spans="1:12" ht="16.5">
      <c r="A24" s="14"/>
      <c r="B24" s="14"/>
      <c r="C24" s="14"/>
      <c r="D24" s="14"/>
      <c r="E24" s="15"/>
      <c r="F24" s="15"/>
      <c r="G24" s="17">
        <f t="shared" si="0"/>
        <v>0</v>
      </c>
      <c r="H24" s="12"/>
      <c r="I24" s="13" t="str">
        <f t="shared" ca="1" si="1"/>
        <v/>
      </c>
      <c r="J24" s="36">
        <f t="shared" ca="1" si="2"/>
        <v>0</v>
      </c>
      <c r="K24" s="14"/>
      <c r="L24" s="14"/>
    </row>
    <row r="25" spans="1:12" ht="16.5">
      <c r="A25" s="14"/>
      <c r="B25" s="14"/>
      <c r="C25" s="14"/>
      <c r="D25" s="14"/>
      <c r="E25" s="15"/>
      <c r="F25" s="15"/>
      <c r="G25" s="17">
        <f t="shared" si="0"/>
        <v>0</v>
      </c>
      <c r="H25" s="12"/>
      <c r="I25" s="13" t="str">
        <f t="shared" ca="1" si="1"/>
        <v/>
      </c>
      <c r="J25" s="36">
        <f t="shared" ca="1" si="2"/>
        <v>0</v>
      </c>
      <c r="K25" s="14"/>
      <c r="L25" s="14"/>
    </row>
    <row r="26" spans="1:12" ht="16.5">
      <c r="A26" s="14"/>
      <c r="B26" s="14"/>
      <c r="C26" s="14"/>
      <c r="D26" s="14"/>
      <c r="E26" s="15"/>
      <c r="F26" s="15"/>
      <c r="G26" s="17">
        <f t="shared" si="0"/>
        <v>0</v>
      </c>
      <c r="H26" s="12"/>
      <c r="I26" s="13" t="str">
        <f t="shared" ca="1" si="1"/>
        <v/>
      </c>
      <c r="J26" s="36">
        <f t="shared" ca="1" si="2"/>
        <v>0</v>
      </c>
      <c r="K26" s="14"/>
      <c r="L26" s="14"/>
    </row>
    <row r="27" spans="1:12" ht="16.5">
      <c r="A27" s="14"/>
      <c r="B27" s="14"/>
      <c r="C27" s="14"/>
      <c r="D27" s="14"/>
      <c r="E27" s="15"/>
      <c r="F27" s="15"/>
      <c r="G27" s="17">
        <f t="shared" si="0"/>
        <v>0</v>
      </c>
      <c r="H27" s="12"/>
      <c r="I27" s="13" t="str">
        <f t="shared" ca="1" si="1"/>
        <v/>
      </c>
      <c r="J27" s="36">
        <f t="shared" ca="1" si="2"/>
        <v>0</v>
      </c>
      <c r="K27" s="14"/>
      <c r="L27" s="14"/>
    </row>
    <row r="28" spans="1:12" ht="16.5">
      <c r="A28" s="14"/>
      <c r="B28" s="14"/>
      <c r="C28" s="14"/>
      <c r="D28" s="14"/>
      <c r="E28" s="15"/>
      <c r="F28" s="15"/>
      <c r="G28" s="17">
        <f t="shared" si="0"/>
        <v>0</v>
      </c>
      <c r="H28" s="12"/>
      <c r="I28" s="13" t="str">
        <f t="shared" ca="1" si="1"/>
        <v/>
      </c>
      <c r="J28" s="36">
        <f t="shared" ca="1" si="2"/>
        <v>0</v>
      </c>
      <c r="K28" s="14"/>
      <c r="L28" s="14"/>
    </row>
    <row r="29" spans="1:12" ht="16.5">
      <c r="A29" s="14"/>
      <c r="B29" s="14"/>
      <c r="C29" s="14"/>
      <c r="D29" s="14"/>
      <c r="E29" s="15"/>
      <c r="F29" s="15"/>
      <c r="G29" s="17">
        <f t="shared" si="0"/>
        <v>0</v>
      </c>
      <c r="H29" s="12"/>
      <c r="I29" s="13" t="str">
        <f t="shared" ca="1" si="1"/>
        <v/>
      </c>
      <c r="J29" s="36">
        <f t="shared" ca="1" si="2"/>
        <v>0</v>
      </c>
      <c r="K29" s="14"/>
      <c r="L29" s="14"/>
    </row>
    <row r="30" spans="1:12" ht="16.5">
      <c r="A30" s="14"/>
      <c r="B30" s="14"/>
      <c r="C30" s="14"/>
      <c r="D30" s="14"/>
      <c r="E30" s="15"/>
      <c r="F30" s="15"/>
      <c r="G30" s="17">
        <f t="shared" si="0"/>
        <v>0</v>
      </c>
      <c r="H30" s="12"/>
      <c r="I30" s="13" t="str">
        <f t="shared" ca="1" si="1"/>
        <v/>
      </c>
      <c r="J30" s="36">
        <f t="shared" ca="1" si="2"/>
        <v>0</v>
      </c>
      <c r="K30" s="14"/>
      <c r="L30" s="14"/>
    </row>
    <row r="31" spans="1:12" ht="16.5">
      <c r="A31" s="14"/>
      <c r="B31" s="14"/>
      <c r="C31" s="14"/>
      <c r="D31" s="14"/>
      <c r="E31" s="15"/>
      <c r="F31" s="15"/>
      <c r="G31" s="17">
        <f t="shared" si="0"/>
        <v>0</v>
      </c>
      <c r="H31" s="12"/>
      <c r="I31" s="13" t="str">
        <f t="shared" ca="1" si="1"/>
        <v/>
      </c>
      <c r="J31" s="36">
        <f t="shared" ca="1" si="2"/>
        <v>0</v>
      </c>
      <c r="K31" s="14"/>
      <c r="L31" s="14"/>
    </row>
    <row r="32" spans="1:12" ht="16.5">
      <c r="A32" s="14"/>
      <c r="B32" s="14"/>
      <c r="C32" s="14"/>
      <c r="D32" s="14"/>
      <c r="E32" s="15"/>
      <c r="F32" s="15"/>
      <c r="G32" s="17">
        <f t="shared" si="0"/>
        <v>0</v>
      </c>
      <c r="H32" s="12"/>
      <c r="I32" s="13" t="str">
        <f t="shared" ca="1" si="1"/>
        <v/>
      </c>
      <c r="J32" s="36">
        <f t="shared" ca="1" si="2"/>
        <v>0</v>
      </c>
      <c r="K32" s="14"/>
      <c r="L32" s="14"/>
    </row>
    <row r="33" spans="1:12" ht="16.5">
      <c r="A33" s="14"/>
      <c r="B33" s="14"/>
      <c r="C33" s="14"/>
      <c r="D33" s="14"/>
      <c r="E33" s="15"/>
      <c r="F33" s="15"/>
      <c r="G33" s="17">
        <f t="shared" si="0"/>
        <v>0</v>
      </c>
      <c r="H33" s="12"/>
      <c r="I33" s="13" t="str">
        <f t="shared" ca="1" si="1"/>
        <v/>
      </c>
      <c r="J33" s="36">
        <f t="shared" ca="1" si="2"/>
        <v>0</v>
      </c>
      <c r="K33" s="14"/>
      <c r="L33" s="14"/>
    </row>
    <row r="34" spans="1:12" ht="16.5">
      <c r="A34" s="14"/>
      <c r="B34" s="14"/>
      <c r="C34" s="14"/>
      <c r="D34" s="14"/>
      <c r="E34" s="15"/>
      <c r="F34" s="15"/>
      <c r="G34" s="17">
        <f t="shared" si="0"/>
        <v>0</v>
      </c>
      <c r="H34" s="12"/>
      <c r="I34" s="13" t="str">
        <f t="shared" ca="1" si="1"/>
        <v/>
      </c>
      <c r="J34" s="36">
        <f t="shared" ca="1" si="2"/>
        <v>0</v>
      </c>
      <c r="K34" s="14"/>
      <c r="L34" s="14"/>
    </row>
    <row r="35" spans="1:12" ht="16.5">
      <c r="A35" s="14"/>
      <c r="B35" s="14"/>
      <c r="C35" s="14"/>
      <c r="D35" s="14"/>
      <c r="E35" s="15"/>
      <c r="F35" s="15"/>
      <c r="G35" s="17">
        <f t="shared" si="0"/>
        <v>0</v>
      </c>
      <c r="H35" s="12"/>
      <c r="I35" s="13" t="str">
        <f t="shared" ca="1" si="1"/>
        <v/>
      </c>
      <c r="J35" s="36">
        <f t="shared" ca="1" si="2"/>
        <v>0</v>
      </c>
      <c r="K35" s="14"/>
      <c r="L35" s="14"/>
    </row>
    <row r="36" spans="1:12" ht="16.5">
      <c r="A36" s="14"/>
      <c r="B36" s="14"/>
      <c r="C36" s="14"/>
      <c r="D36" s="14"/>
      <c r="E36" s="15"/>
      <c r="F36" s="15"/>
      <c r="G36" s="17">
        <f t="shared" ref="G36:G67" si="3">E36-F36</f>
        <v>0</v>
      </c>
      <c r="H36" s="12"/>
      <c r="I36" s="13" t="str">
        <f t="shared" ref="I36:I67" ca="1" si="4">IF(A36="","",IF(G36&lt;=0,"已结清",IF(H36&lt;TODAY(),"已逾期","未到期")))</f>
        <v/>
      </c>
      <c r="J36" s="36">
        <f t="shared" ref="J36:J67" ca="1" si="5">IF(OR(A36="",G36&lt;=0),0,MAX(0,TODAY()-H36))</f>
        <v>0</v>
      </c>
      <c r="K36" s="14"/>
      <c r="L36" s="14"/>
    </row>
    <row r="37" spans="1:12" ht="16.5">
      <c r="A37" s="14"/>
      <c r="B37" s="14"/>
      <c r="C37" s="14"/>
      <c r="D37" s="14"/>
      <c r="E37" s="15"/>
      <c r="F37" s="15"/>
      <c r="G37" s="17">
        <f t="shared" si="3"/>
        <v>0</v>
      </c>
      <c r="H37" s="12"/>
      <c r="I37" s="13" t="str">
        <f t="shared" ca="1" si="4"/>
        <v/>
      </c>
      <c r="J37" s="36">
        <f t="shared" ca="1" si="5"/>
        <v>0</v>
      </c>
      <c r="K37" s="14"/>
      <c r="L37" s="14"/>
    </row>
    <row r="38" spans="1:12" ht="16.5">
      <c r="A38" s="14"/>
      <c r="B38" s="14"/>
      <c r="C38" s="14"/>
      <c r="D38" s="14"/>
      <c r="E38" s="15"/>
      <c r="F38" s="15"/>
      <c r="G38" s="17">
        <f t="shared" si="3"/>
        <v>0</v>
      </c>
      <c r="H38" s="12"/>
      <c r="I38" s="13" t="str">
        <f t="shared" ca="1" si="4"/>
        <v/>
      </c>
      <c r="J38" s="36">
        <f t="shared" ca="1" si="5"/>
        <v>0</v>
      </c>
      <c r="K38" s="14"/>
      <c r="L38" s="14"/>
    </row>
    <row r="39" spans="1:12" ht="16.5">
      <c r="A39" s="14"/>
      <c r="B39" s="14"/>
      <c r="C39" s="14"/>
      <c r="D39" s="14"/>
      <c r="E39" s="15"/>
      <c r="F39" s="15"/>
      <c r="G39" s="17">
        <f t="shared" si="3"/>
        <v>0</v>
      </c>
      <c r="H39" s="12"/>
      <c r="I39" s="13" t="str">
        <f t="shared" ca="1" si="4"/>
        <v/>
      </c>
      <c r="J39" s="36">
        <f t="shared" ca="1" si="5"/>
        <v>0</v>
      </c>
      <c r="K39" s="14"/>
      <c r="L39" s="14"/>
    </row>
    <row r="40" spans="1:12" ht="16.5">
      <c r="A40" s="14"/>
      <c r="B40" s="14"/>
      <c r="C40" s="14"/>
      <c r="D40" s="14"/>
      <c r="E40" s="15"/>
      <c r="F40" s="15"/>
      <c r="G40" s="17">
        <f t="shared" si="3"/>
        <v>0</v>
      </c>
      <c r="H40" s="12"/>
      <c r="I40" s="13" t="str">
        <f t="shared" ca="1" si="4"/>
        <v/>
      </c>
      <c r="J40" s="36">
        <f t="shared" ca="1" si="5"/>
        <v>0</v>
      </c>
      <c r="K40" s="14"/>
      <c r="L40" s="14"/>
    </row>
    <row r="41" spans="1:12" ht="16.5">
      <c r="A41" s="14"/>
      <c r="B41" s="14"/>
      <c r="C41" s="14"/>
      <c r="D41" s="14"/>
      <c r="E41" s="15"/>
      <c r="F41" s="15"/>
      <c r="G41" s="17">
        <f t="shared" si="3"/>
        <v>0</v>
      </c>
      <c r="H41" s="12"/>
      <c r="I41" s="13" t="str">
        <f t="shared" ca="1" si="4"/>
        <v/>
      </c>
      <c r="J41" s="36">
        <f t="shared" ca="1" si="5"/>
        <v>0</v>
      </c>
      <c r="K41" s="14"/>
      <c r="L41" s="14"/>
    </row>
    <row r="42" spans="1:12" ht="16.5">
      <c r="A42" s="14"/>
      <c r="B42" s="14"/>
      <c r="C42" s="14"/>
      <c r="D42" s="14"/>
      <c r="E42" s="15"/>
      <c r="F42" s="15"/>
      <c r="G42" s="17">
        <f t="shared" si="3"/>
        <v>0</v>
      </c>
      <c r="H42" s="12"/>
      <c r="I42" s="13" t="str">
        <f t="shared" ca="1" si="4"/>
        <v/>
      </c>
      <c r="J42" s="36">
        <f t="shared" ca="1" si="5"/>
        <v>0</v>
      </c>
      <c r="K42" s="14"/>
      <c r="L42" s="14"/>
    </row>
    <row r="43" spans="1:12" ht="16.5">
      <c r="A43" s="14"/>
      <c r="B43" s="14"/>
      <c r="C43" s="14"/>
      <c r="D43" s="14"/>
      <c r="E43" s="15"/>
      <c r="F43" s="15"/>
      <c r="G43" s="17">
        <f t="shared" si="3"/>
        <v>0</v>
      </c>
      <c r="H43" s="12"/>
      <c r="I43" s="13" t="str">
        <f t="shared" ca="1" si="4"/>
        <v/>
      </c>
      <c r="J43" s="36">
        <f t="shared" ca="1" si="5"/>
        <v>0</v>
      </c>
      <c r="K43" s="14"/>
      <c r="L43" s="14"/>
    </row>
    <row r="44" spans="1:12" ht="16.5">
      <c r="A44" s="14"/>
      <c r="B44" s="14"/>
      <c r="C44" s="14"/>
      <c r="D44" s="14"/>
      <c r="E44" s="15"/>
      <c r="F44" s="15"/>
      <c r="G44" s="17">
        <f t="shared" si="3"/>
        <v>0</v>
      </c>
      <c r="H44" s="12"/>
      <c r="I44" s="13" t="str">
        <f t="shared" ca="1" si="4"/>
        <v/>
      </c>
      <c r="J44" s="36">
        <f t="shared" ca="1" si="5"/>
        <v>0</v>
      </c>
      <c r="K44" s="14"/>
      <c r="L44" s="14"/>
    </row>
    <row r="45" spans="1:12" ht="16.5">
      <c r="A45" s="14"/>
      <c r="B45" s="14"/>
      <c r="C45" s="14"/>
      <c r="D45" s="14"/>
      <c r="E45" s="15"/>
      <c r="F45" s="15"/>
      <c r="G45" s="17">
        <f t="shared" si="3"/>
        <v>0</v>
      </c>
      <c r="H45" s="12"/>
      <c r="I45" s="13" t="str">
        <f t="shared" ca="1" si="4"/>
        <v/>
      </c>
      <c r="J45" s="36">
        <f t="shared" ca="1" si="5"/>
        <v>0</v>
      </c>
      <c r="K45" s="14"/>
      <c r="L45" s="14"/>
    </row>
    <row r="46" spans="1:12" ht="16.5">
      <c r="A46" s="14"/>
      <c r="B46" s="14"/>
      <c r="C46" s="14"/>
      <c r="D46" s="14"/>
      <c r="E46" s="15"/>
      <c r="F46" s="15"/>
      <c r="G46" s="17">
        <f t="shared" si="3"/>
        <v>0</v>
      </c>
      <c r="H46" s="12"/>
      <c r="I46" s="13" t="str">
        <f t="shared" ca="1" si="4"/>
        <v/>
      </c>
      <c r="J46" s="36">
        <f t="shared" ca="1" si="5"/>
        <v>0</v>
      </c>
      <c r="K46" s="14"/>
      <c r="L46" s="14"/>
    </row>
    <row r="47" spans="1:12" ht="16.5">
      <c r="A47" s="14"/>
      <c r="B47" s="14"/>
      <c r="C47" s="14"/>
      <c r="D47" s="14"/>
      <c r="E47" s="15"/>
      <c r="F47" s="15"/>
      <c r="G47" s="17">
        <f t="shared" si="3"/>
        <v>0</v>
      </c>
      <c r="H47" s="12"/>
      <c r="I47" s="13" t="str">
        <f t="shared" ca="1" si="4"/>
        <v/>
      </c>
      <c r="J47" s="36">
        <f t="shared" ca="1" si="5"/>
        <v>0</v>
      </c>
      <c r="K47" s="14"/>
      <c r="L47" s="14"/>
    </row>
    <row r="48" spans="1:12" ht="16.5">
      <c r="A48" s="14"/>
      <c r="B48" s="14"/>
      <c r="C48" s="14"/>
      <c r="D48" s="14"/>
      <c r="E48" s="15"/>
      <c r="F48" s="15"/>
      <c r="G48" s="17">
        <f t="shared" si="3"/>
        <v>0</v>
      </c>
      <c r="H48" s="12"/>
      <c r="I48" s="13" t="str">
        <f t="shared" ca="1" si="4"/>
        <v/>
      </c>
      <c r="J48" s="36">
        <f t="shared" ca="1" si="5"/>
        <v>0</v>
      </c>
      <c r="K48" s="14"/>
      <c r="L48" s="14"/>
    </row>
    <row r="49" spans="1:12" ht="16.5">
      <c r="A49" s="14"/>
      <c r="B49" s="14"/>
      <c r="C49" s="14"/>
      <c r="D49" s="14"/>
      <c r="E49" s="15"/>
      <c r="F49" s="15"/>
      <c r="G49" s="17">
        <f t="shared" si="3"/>
        <v>0</v>
      </c>
      <c r="H49" s="12"/>
      <c r="I49" s="13" t="str">
        <f t="shared" ca="1" si="4"/>
        <v/>
      </c>
      <c r="J49" s="36">
        <f t="shared" ca="1" si="5"/>
        <v>0</v>
      </c>
      <c r="K49" s="14"/>
      <c r="L49" s="14"/>
    </row>
    <row r="50" spans="1:12" ht="16.5">
      <c r="A50" s="14"/>
      <c r="B50" s="14"/>
      <c r="C50" s="14"/>
      <c r="D50" s="14"/>
      <c r="E50" s="15"/>
      <c r="F50" s="15"/>
      <c r="G50" s="17">
        <f t="shared" si="3"/>
        <v>0</v>
      </c>
      <c r="H50" s="12"/>
      <c r="I50" s="13" t="str">
        <f t="shared" ca="1" si="4"/>
        <v/>
      </c>
      <c r="J50" s="36">
        <f t="shared" ca="1" si="5"/>
        <v>0</v>
      </c>
      <c r="K50" s="14"/>
      <c r="L50" s="14"/>
    </row>
    <row r="51" spans="1:12" ht="16.5">
      <c r="A51" s="14"/>
      <c r="B51" s="14"/>
      <c r="C51" s="14"/>
      <c r="D51" s="14"/>
      <c r="E51" s="15"/>
      <c r="F51" s="15"/>
      <c r="G51" s="17">
        <f t="shared" si="3"/>
        <v>0</v>
      </c>
      <c r="H51" s="12"/>
      <c r="I51" s="13" t="str">
        <f t="shared" ca="1" si="4"/>
        <v/>
      </c>
      <c r="J51" s="36">
        <f t="shared" ca="1" si="5"/>
        <v>0</v>
      </c>
      <c r="K51" s="14"/>
      <c r="L51" s="14"/>
    </row>
    <row r="52" spans="1:12" ht="16.5">
      <c r="A52" s="14"/>
      <c r="B52" s="14"/>
      <c r="C52" s="14"/>
      <c r="D52" s="14"/>
      <c r="E52" s="15"/>
      <c r="F52" s="15"/>
      <c r="G52" s="17">
        <f t="shared" si="3"/>
        <v>0</v>
      </c>
      <c r="H52" s="12"/>
      <c r="I52" s="13" t="str">
        <f t="shared" ca="1" si="4"/>
        <v/>
      </c>
      <c r="J52" s="36">
        <f t="shared" ca="1" si="5"/>
        <v>0</v>
      </c>
      <c r="K52" s="14"/>
      <c r="L52" s="14"/>
    </row>
    <row r="53" spans="1:12" ht="16.5">
      <c r="A53" s="14"/>
      <c r="B53" s="14"/>
      <c r="C53" s="14"/>
      <c r="D53" s="14"/>
      <c r="E53" s="15"/>
      <c r="F53" s="15"/>
      <c r="G53" s="17">
        <f t="shared" si="3"/>
        <v>0</v>
      </c>
      <c r="H53" s="12"/>
      <c r="I53" s="13" t="str">
        <f t="shared" ca="1" si="4"/>
        <v/>
      </c>
      <c r="J53" s="36">
        <f t="shared" ca="1" si="5"/>
        <v>0</v>
      </c>
      <c r="K53" s="14"/>
      <c r="L53" s="14"/>
    </row>
    <row r="54" spans="1:12" ht="16.5">
      <c r="A54" s="14"/>
      <c r="B54" s="14"/>
      <c r="C54" s="14"/>
      <c r="D54" s="14"/>
      <c r="E54" s="15"/>
      <c r="F54" s="15"/>
      <c r="G54" s="17">
        <f t="shared" si="3"/>
        <v>0</v>
      </c>
      <c r="H54" s="12"/>
      <c r="I54" s="13" t="str">
        <f t="shared" ca="1" si="4"/>
        <v/>
      </c>
      <c r="J54" s="36">
        <f t="shared" ca="1" si="5"/>
        <v>0</v>
      </c>
      <c r="K54" s="14"/>
      <c r="L54" s="14"/>
    </row>
    <row r="55" spans="1:12" ht="16.5">
      <c r="A55" s="14"/>
      <c r="B55" s="14"/>
      <c r="C55" s="14"/>
      <c r="D55" s="14"/>
      <c r="E55" s="15"/>
      <c r="F55" s="15"/>
      <c r="G55" s="17">
        <f t="shared" si="3"/>
        <v>0</v>
      </c>
      <c r="H55" s="12"/>
      <c r="I55" s="13" t="str">
        <f t="shared" ca="1" si="4"/>
        <v/>
      </c>
      <c r="J55" s="36">
        <f t="shared" ca="1" si="5"/>
        <v>0</v>
      </c>
      <c r="K55" s="14"/>
      <c r="L55" s="14"/>
    </row>
    <row r="56" spans="1:12" ht="16.5">
      <c r="A56" s="14"/>
      <c r="B56" s="14"/>
      <c r="C56" s="14"/>
      <c r="D56" s="14"/>
      <c r="E56" s="15"/>
      <c r="F56" s="15"/>
      <c r="G56" s="17">
        <f t="shared" si="3"/>
        <v>0</v>
      </c>
      <c r="H56" s="12"/>
      <c r="I56" s="13" t="str">
        <f t="shared" ca="1" si="4"/>
        <v/>
      </c>
      <c r="J56" s="36">
        <f t="shared" ca="1" si="5"/>
        <v>0</v>
      </c>
      <c r="K56" s="14"/>
      <c r="L56" s="14"/>
    </row>
    <row r="57" spans="1:12" ht="16.5">
      <c r="A57" s="14"/>
      <c r="B57" s="14"/>
      <c r="C57" s="14"/>
      <c r="D57" s="14"/>
      <c r="E57" s="15"/>
      <c r="F57" s="15"/>
      <c r="G57" s="17">
        <f t="shared" si="3"/>
        <v>0</v>
      </c>
      <c r="H57" s="12"/>
      <c r="I57" s="13" t="str">
        <f t="shared" ca="1" si="4"/>
        <v/>
      </c>
      <c r="J57" s="36">
        <f t="shared" ca="1" si="5"/>
        <v>0</v>
      </c>
      <c r="K57" s="14"/>
      <c r="L57" s="14"/>
    </row>
    <row r="58" spans="1:12" ht="16.5">
      <c r="A58" s="14"/>
      <c r="B58" s="14"/>
      <c r="C58" s="14"/>
      <c r="D58" s="14"/>
      <c r="E58" s="15"/>
      <c r="F58" s="15"/>
      <c r="G58" s="17">
        <f t="shared" si="3"/>
        <v>0</v>
      </c>
      <c r="H58" s="12"/>
      <c r="I58" s="13" t="str">
        <f t="shared" ca="1" si="4"/>
        <v/>
      </c>
      <c r="J58" s="36">
        <f t="shared" ca="1" si="5"/>
        <v>0</v>
      </c>
      <c r="K58" s="14"/>
      <c r="L58" s="14"/>
    </row>
    <row r="59" spans="1:12" ht="16.5">
      <c r="A59" s="14"/>
      <c r="B59" s="14"/>
      <c r="C59" s="14"/>
      <c r="D59" s="14"/>
      <c r="E59" s="15"/>
      <c r="F59" s="15"/>
      <c r="G59" s="17">
        <f t="shared" si="3"/>
        <v>0</v>
      </c>
      <c r="H59" s="12"/>
      <c r="I59" s="13" t="str">
        <f t="shared" ca="1" si="4"/>
        <v/>
      </c>
      <c r="J59" s="36">
        <f t="shared" ca="1" si="5"/>
        <v>0</v>
      </c>
      <c r="K59" s="14"/>
      <c r="L59" s="14"/>
    </row>
    <row r="60" spans="1:12" ht="16.5">
      <c r="A60" s="14"/>
      <c r="B60" s="14"/>
      <c r="C60" s="14"/>
      <c r="D60" s="14"/>
      <c r="E60" s="15"/>
      <c r="F60" s="15"/>
      <c r="G60" s="17">
        <f t="shared" si="3"/>
        <v>0</v>
      </c>
      <c r="H60" s="12"/>
      <c r="I60" s="13" t="str">
        <f t="shared" ca="1" si="4"/>
        <v/>
      </c>
      <c r="J60" s="36">
        <f t="shared" ca="1" si="5"/>
        <v>0</v>
      </c>
      <c r="K60" s="14"/>
      <c r="L60" s="14"/>
    </row>
    <row r="61" spans="1:12" ht="16.5">
      <c r="A61" s="14"/>
      <c r="B61" s="14"/>
      <c r="C61" s="14"/>
      <c r="D61" s="14"/>
      <c r="E61" s="15"/>
      <c r="F61" s="15"/>
      <c r="G61" s="17">
        <f t="shared" si="3"/>
        <v>0</v>
      </c>
      <c r="H61" s="12"/>
      <c r="I61" s="13" t="str">
        <f t="shared" ca="1" si="4"/>
        <v/>
      </c>
      <c r="J61" s="36">
        <f t="shared" ca="1" si="5"/>
        <v>0</v>
      </c>
      <c r="K61" s="14"/>
      <c r="L61" s="14"/>
    </row>
    <row r="62" spans="1:12" ht="16.5">
      <c r="A62" s="14"/>
      <c r="B62" s="14"/>
      <c r="C62" s="14"/>
      <c r="D62" s="14"/>
      <c r="E62" s="15"/>
      <c r="F62" s="15"/>
      <c r="G62" s="17">
        <f t="shared" si="3"/>
        <v>0</v>
      </c>
      <c r="H62" s="12"/>
      <c r="I62" s="13" t="str">
        <f t="shared" ca="1" si="4"/>
        <v/>
      </c>
      <c r="J62" s="36">
        <f t="shared" ca="1" si="5"/>
        <v>0</v>
      </c>
      <c r="K62" s="14"/>
      <c r="L62" s="14"/>
    </row>
    <row r="63" spans="1:12" ht="16.5">
      <c r="A63" s="14"/>
      <c r="B63" s="14"/>
      <c r="C63" s="14"/>
      <c r="D63" s="14"/>
      <c r="E63" s="15"/>
      <c r="F63" s="15"/>
      <c r="G63" s="17">
        <f t="shared" si="3"/>
        <v>0</v>
      </c>
      <c r="H63" s="12"/>
      <c r="I63" s="13" t="str">
        <f t="shared" ca="1" si="4"/>
        <v/>
      </c>
      <c r="J63" s="36">
        <f t="shared" ca="1" si="5"/>
        <v>0</v>
      </c>
      <c r="K63" s="14"/>
      <c r="L63" s="14"/>
    </row>
    <row r="64" spans="1:12" ht="16.5">
      <c r="A64" s="14"/>
      <c r="B64" s="14"/>
      <c r="C64" s="14"/>
      <c r="D64" s="14"/>
      <c r="E64" s="15"/>
      <c r="F64" s="15"/>
      <c r="G64" s="17">
        <f t="shared" si="3"/>
        <v>0</v>
      </c>
      <c r="H64" s="12"/>
      <c r="I64" s="13" t="str">
        <f t="shared" ca="1" si="4"/>
        <v/>
      </c>
      <c r="J64" s="36">
        <f t="shared" ca="1" si="5"/>
        <v>0</v>
      </c>
      <c r="K64" s="14"/>
      <c r="L64" s="14"/>
    </row>
    <row r="65" spans="1:12" ht="16.5">
      <c r="A65" s="14"/>
      <c r="B65" s="14"/>
      <c r="C65" s="14"/>
      <c r="D65" s="14"/>
      <c r="E65" s="15"/>
      <c r="F65" s="15"/>
      <c r="G65" s="17">
        <f t="shared" si="3"/>
        <v>0</v>
      </c>
      <c r="H65" s="12"/>
      <c r="I65" s="13" t="str">
        <f t="shared" ca="1" si="4"/>
        <v/>
      </c>
      <c r="J65" s="36">
        <f t="shared" ca="1" si="5"/>
        <v>0</v>
      </c>
      <c r="K65" s="14"/>
      <c r="L65" s="14"/>
    </row>
    <row r="66" spans="1:12" ht="16.5">
      <c r="A66" s="14"/>
      <c r="B66" s="14"/>
      <c r="C66" s="14"/>
      <c r="D66" s="14"/>
      <c r="E66" s="15"/>
      <c r="F66" s="15"/>
      <c r="G66" s="17">
        <f t="shared" si="3"/>
        <v>0</v>
      </c>
      <c r="H66" s="12"/>
      <c r="I66" s="13" t="str">
        <f t="shared" ca="1" si="4"/>
        <v/>
      </c>
      <c r="J66" s="36">
        <f t="shared" ca="1" si="5"/>
        <v>0</v>
      </c>
      <c r="K66" s="14"/>
      <c r="L66" s="14"/>
    </row>
    <row r="67" spans="1:12" ht="16.5">
      <c r="A67" s="14"/>
      <c r="B67" s="14"/>
      <c r="C67" s="14"/>
      <c r="D67" s="14"/>
      <c r="E67" s="15"/>
      <c r="F67" s="15"/>
      <c r="G67" s="17">
        <f t="shared" si="3"/>
        <v>0</v>
      </c>
      <c r="H67" s="12"/>
      <c r="I67" s="13" t="str">
        <f t="shared" ca="1" si="4"/>
        <v/>
      </c>
      <c r="J67" s="36">
        <f t="shared" ca="1" si="5"/>
        <v>0</v>
      </c>
      <c r="K67" s="14"/>
      <c r="L67" s="14"/>
    </row>
    <row r="68" spans="1:12" ht="16.5">
      <c r="A68" s="14"/>
      <c r="B68" s="14"/>
      <c r="C68" s="14"/>
      <c r="D68" s="14"/>
      <c r="E68" s="15"/>
      <c r="F68" s="15"/>
      <c r="G68" s="17">
        <f t="shared" ref="G68:G99" si="6">E68-F68</f>
        <v>0</v>
      </c>
      <c r="H68" s="12"/>
      <c r="I68" s="13" t="str">
        <f t="shared" ref="I68:I99" ca="1" si="7">IF(A68="","",IF(G68&lt;=0,"已结清",IF(H68&lt;TODAY(),"已逾期","未到期")))</f>
        <v/>
      </c>
      <c r="J68" s="36">
        <f t="shared" ref="J68:J103" ca="1" si="8">IF(OR(A68="",G68&lt;=0),0,MAX(0,TODAY()-H68))</f>
        <v>0</v>
      </c>
      <c r="K68" s="14"/>
      <c r="L68" s="14"/>
    </row>
    <row r="69" spans="1:12" ht="16.5">
      <c r="A69" s="14"/>
      <c r="B69" s="14"/>
      <c r="C69" s="14"/>
      <c r="D69" s="14"/>
      <c r="E69" s="15"/>
      <c r="F69" s="15"/>
      <c r="G69" s="17">
        <f t="shared" si="6"/>
        <v>0</v>
      </c>
      <c r="H69" s="12"/>
      <c r="I69" s="13" t="str">
        <f t="shared" ca="1" si="7"/>
        <v/>
      </c>
      <c r="J69" s="36">
        <f t="shared" ca="1" si="8"/>
        <v>0</v>
      </c>
      <c r="K69" s="14"/>
      <c r="L69" s="14"/>
    </row>
    <row r="70" spans="1:12" ht="16.5">
      <c r="A70" s="14"/>
      <c r="B70" s="14"/>
      <c r="C70" s="14"/>
      <c r="D70" s="14"/>
      <c r="E70" s="15"/>
      <c r="F70" s="15"/>
      <c r="G70" s="17">
        <f t="shared" si="6"/>
        <v>0</v>
      </c>
      <c r="H70" s="12"/>
      <c r="I70" s="13" t="str">
        <f t="shared" ca="1" si="7"/>
        <v/>
      </c>
      <c r="J70" s="36">
        <f t="shared" ca="1" si="8"/>
        <v>0</v>
      </c>
      <c r="K70" s="14"/>
      <c r="L70" s="14"/>
    </row>
    <row r="71" spans="1:12" ht="16.5">
      <c r="A71" s="14"/>
      <c r="B71" s="14"/>
      <c r="C71" s="14"/>
      <c r="D71" s="14"/>
      <c r="E71" s="15"/>
      <c r="F71" s="15"/>
      <c r="G71" s="17">
        <f t="shared" si="6"/>
        <v>0</v>
      </c>
      <c r="H71" s="12"/>
      <c r="I71" s="13" t="str">
        <f t="shared" ca="1" si="7"/>
        <v/>
      </c>
      <c r="J71" s="36">
        <f t="shared" ca="1" si="8"/>
        <v>0</v>
      </c>
      <c r="K71" s="14"/>
      <c r="L71" s="14"/>
    </row>
    <row r="72" spans="1:12" ht="16.5">
      <c r="A72" s="14"/>
      <c r="B72" s="14"/>
      <c r="C72" s="14"/>
      <c r="D72" s="14"/>
      <c r="E72" s="15"/>
      <c r="F72" s="15"/>
      <c r="G72" s="17">
        <f t="shared" si="6"/>
        <v>0</v>
      </c>
      <c r="H72" s="12"/>
      <c r="I72" s="13" t="str">
        <f t="shared" ca="1" si="7"/>
        <v/>
      </c>
      <c r="J72" s="36">
        <f t="shared" ca="1" si="8"/>
        <v>0</v>
      </c>
      <c r="K72" s="14"/>
      <c r="L72" s="14"/>
    </row>
    <row r="73" spans="1:12" ht="16.5">
      <c r="A73" s="14"/>
      <c r="B73" s="14"/>
      <c r="C73" s="14"/>
      <c r="D73" s="14"/>
      <c r="E73" s="15"/>
      <c r="F73" s="15"/>
      <c r="G73" s="17">
        <f t="shared" si="6"/>
        <v>0</v>
      </c>
      <c r="H73" s="12"/>
      <c r="I73" s="13" t="str">
        <f t="shared" ca="1" si="7"/>
        <v/>
      </c>
      <c r="J73" s="36">
        <f t="shared" ca="1" si="8"/>
        <v>0</v>
      </c>
      <c r="K73" s="14"/>
      <c r="L73" s="14"/>
    </row>
    <row r="74" spans="1:12" ht="16.5">
      <c r="A74" s="14"/>
      <c r="B74" s="14"/>
      <c r="C74" s="14"/>
      <c r="D74" s="14"/>
      <c r="E74" s="15"/>
      <c r="F74" s="15"/>
      <c r="G74" s="17">
        <f t="shared" si="6"/>
        <v>0</v>
      </c>
      <c r="H74" s="12"/>
      <c r="I74" s="13" t="str">
        <f t="shared" ca="1" si="7"/>
        <v/>
      </c>
      <c r="J74" s="36">
        <f t="shared" ca="1" si="8"/>
        <v>0</v>
      </c>
      <c r="K74" s="14"/>
      <c r="L74" s="14"/>
    </row>
    <row r="75" spans="1:12" ht="16.5">
      <c r="A75" s="14"/>
      <c r="B75" s="14"/>
      <c r="C75" s="14"/>
      <c r="D75" s="14"/>
      <c r="E75" s="15"/>
      <c r="F75" s="15"/>
      <c r="G75" s="17">
        <f t="shared" si="6"/>
        <v>0</v>
      </c>
      <c r="H75" s="12"/>
      <c r="I75" s="13" t="str">
        <f t="shared" ca="1" si="7"/>
        <v/>
      </c>
      <c r="J75" s="36">
        <f t="shared" ca="1" si="8"/>
        <v>0</v>
      </c>
      <c r="K75" s="14"/>
      <c r="L75" s="14"/>
    </row>
    <row r="76" spans="1:12" ht="16.5">
      <c r="A76" s="14"/>
      <c r="B76" s="14"/>
      <c r="C76" s="14"/>
      <c r="D76" s="14"/>
      <c r="E76" s="15"/>
      <c r="F76" s="15"/>
      <c r="G76" s="17">
        <f t="shared" si="6"/>
        <v>0</v>
      </c>
      <c r="H76" s="12"/>
      <c r="I76" s="13" t="str">
        <f t="shared" ca="1" si="7"/>
        <v/>
      </c>
      <c r="J76" s="36">
        <f t="shared" ca="1" si="8"/>
        <v>0</v>
      </c>
      <c r="K76" s="14"/>
      <c r="L76" s="14"/>
    </row>
    <row r="77" spans="1:12" ht="16.5">
      <c r="A77" s="14"/>
      <c r="B77" s="14"/>
      <c r="C77" s="14"/>
      <c r="D77" s="14"/>
      <c r="E77" s="15"/>
      <c r="F77" s="15"/>
      <c r="G77" s="17">
        <f t="shared" si="6"/>
        <v>0</v>
      </c>
      <c r="H77" s="12"/>
      <c r="I77" s="13" t="str">
        <f t="shared" ca="1" si="7"/>
        <v/>
      </c>
      <c r="J77" s="36">
        <f t="shared" ca="1" si="8"/>
        <v>0</v>
      </c>
      <c r="K77" s="14"/>
      <c r="L77" s="14"/>
    </row>
    <row r="78" spans="1:12" ht="16.5">
      <c r="A78" s="14"/>
      <c r="B78" s="14"/>
      <c r="C78" s="14"/>
      <c r="D78" s="14"/>
      <c r="E78" s="15"/>
      <c r="F78" s="15"/>
      <c r="G78" s="17">
        <f t="shared" si="6"/>
        <v>0</v>
      </c>
      <c r="H78" s="12"/>
      <c r="I78" s="13" t="str">
        <f t="shared" ca="1" si="7"/>
        <v/>
      </c>
      <c r="J78" s="36">
        <f t="shared" ca="1" si="8"/>
        <v>0</v>
      </c>
      <c r="K78" s="14"/>
      <c r="L78" s="14"/>
    </row>
    <row r="79" spans="1:12" ht="16.5">
      <c r="A79" s="14"/>
      <c r="B79" s="14"/>
      <c r="C79" s="14"/>
      <c r="D79" s="14"/>
      <c r="E79" s="15"/>
      <c r="F79" s="15"/>
      <c r="G79" s="17">
        <f t="shared" si="6"/>
        <v>0</v>
      </c>
      <c r="H79" s="12"/>
      <c r="I79" s="13" t="str">
        <f t="shared" ca="1" si="7"/>
        <v/>
      </c>
      <c r="J79" s="36">
        <f t="shared" ca="1" si="8"/>
        <v>0</v>
      </c>
      <c r="K79" s="14"/>
      <c r="L79" s="14"/>
    </row>
    <row r="80" spans="1:12" ht="16.5">
      <c r="A80" s="14"/>
      <c r="B80" s="14"/>
      <c r="C80" s="14"/>
      <c r="D80" s="14"/>
      <c r="E80" s="15"/>
      <c r="F80" s="15"/>
      <c r="G80" s="17">
        <f t="shared" si="6"/>
        <v>0</v>
      </c>
      <c r="H80" s="12"/>
      <c r="I80" s="13" t="str">
        <f t="shared" ca="1" si="7"/>
        <v/>
      </c>
      <c r="J80" s="36">
        <f t="shared" ca="1" si="8"/>
        <v>0</v>
      </c>
      <c r="K80" s="14"/>
      <c r="L80" s="14"/>
    </row>
    <row r="81" spans="1:12" ht="16.5">
      <c r="A81" s="14"/>
      <c r="B81" s="14"/>
      <c r="C81" s="14"/>
      <c r="D81" s="14"/>
      <c r="E81" s="15"/>
      <c r="F81" s="15"/>
      <c r="G81" s="17">
        <f t="shared" si="6"/>
        <v>0</v>
      </c>
      <c r="H81" s="12"/>
      <c r="I81" s="13" t="str">
        <f t="shared" ca="1" si="7"/>
        <v/>
      </c>
      <c r="J81" s="36">
        <f t="shared" ca="1" si="8"/>
        <v>0</v>
      </c>
      <c r="K81" s="14"/>
      <c r="L81" s="14"/>
    </row>
    <row r="82" spans="1:12" ht="16.5">
      <c r="A82" s="14"/>
      <c r="B82" s="14"/>
      <c r="C82" s="14"/>
      <c r="D82" s="14"/>
      <c r="E82" s="15"/>
      <c r="F82" s="15"/>
      <c r="G82" s="17">
        <f t="shared" si="6"/>
        <v>0</v>
      </c>
      <c r="H82" s="12"/>
      <c r="I82" s="13" t="str">
        <f t="shared" ca="1" si="7"/>
        <v/>
      </c>
      <c r="J82" s="36">
        <f t="shared" ca="1" si="8"/>
        <v>0</v>
      </c>
      <c r="K82" s="14"/>
      <c r="L82" s="14"/>
    </row>
    <row r="83" spans="1:12" ht="16.5">
      <c r="A83" s="14"/>
      <c r="B83" s="14"/>
      <c r="C83" s="14"/>
      <c r="D83" s="14"/>
      <c r="E83" s="15"/>
      <c r="F83" s="15"/>
      <c r="G83" s="17">
        <f t="shared" si="6"/>
        <v>0</v>
      </c>
      <c r="H83" s="12"/>
      <c r="I83" s="13" t="str">
        <f t="shared" ca="1" si="7"/>
        <v/>
      </c>
      <c r="J83" s="36">
        <f t="shared" ca="1" si="8"/>
        <v>0</v>
      </c>
      <c r="K83" s="14"/>
      <c r="L83" s="14"/>
    </row>
    <row r="84" spans="1:12" ht="16.5">
      <c r="A84" s="14"/>
      <c r="B84" s="14"/>
      <c r="C84" s="14"/>
      <c r="D84" s="14"/>
      <c r="E84" s="15"/>
      <c r="F84" s="15"/>
      <c r="G84" s="17">
        <f t="shared" si="6"/>
        <v>0</v>
      </c>
      <c r="H84" s="12"/>
      <c r="I84" s="13" t="str">
        <f t="shared" ca="1" si="7"/>
        <v/>
      </c>
      <c r="J84" s="36">
        <f t="shared" ca="1" si="8"/>
        <v>0</v>
      </c>
      <c r="K84" s="14"/>
      <c r="L84" s="14"/>
    </row>
    <row r="85" spans="1:12" ht="16.5">
      <c r="A85" s="14"/>
      <c r="B85" s="14"/>
      <c r="C85" s="14"/>
      <c r="D85" s="14"/>
      <c r="E85" s="15"/>
      <c r="F85" s="15"/>
      <c r="G85" s="17">
        <f t="shared" si="6"/>
        <v>0</v>
      </c>
      <c r="H85" s="12"/>
      <c r="I85" s="13" t="str">
        <f t="shared" ca="1" si="7"/>
        <v/>
      </c>
      <c r="J85" s="36">
        <f t="shared" ca="1" si="8"/>
        <v>0</v>
      </c>
      <c r="K85" s="14"/>
      <c r="L85" s="14"/>
    </row>
    <row r="86" spans="1:12" ht="16.5">
      <c r="A86" s="14"/>
      <c r="B86" s="14"/>
      <c r="C86" s="14"/>
      <c r="D86" s="14"/>
      <c r="E86" s="15"/>
      <c r="F86" s="15"/>
      <c r="G86" s="17">
        <f t="shared" si="6"/>
        <v>0</v>
      </c>
      <c r="H86" s="12"/>
      <c r="I86" s="13" t="str">
        <f t="shared" ca="1" si="7"/>
        <v/>
      </c>
      <c r="J86" s="36">
        <f t="shared" ca="1" si="8"/>
        <v>0</v>
      </c>
      <c r="K86" s="14"/>
      <c r="L86" s="14"/>
    </row>
    <row r="87" spans="1:12" ht="16.5">
      <c r="A87" s="14"/>
      <c r="B87" s="14"/>
      <c r="C87" s="14"/>
      <c r="D87" s="14"/>
      <c r="E87" s="15"/>
      <c r="F87" s="15"/>
      <c r="G87" s="17">
        <f t="shared" si="6"/>
        <v>0</v>
      </c>
      <c r="H87" s="12"/>
      <c r="I87" s="13" t="str">
        <f t="shared" ca="1" si="7"/>
        <v/>
      </c>
      <c r="J87" s="36">
        <f t="shared" ca="1" si="8"/>
        <v>0</v>
      </c>
      <c r="K87" s="14"/>
      <c r="L87" s="14"/>
    </row>
    <row r="88" spans="1:12" ht="16.5">
      <c r="A88" s="14"/>
      <c r="B88" s="14"/>
      <c r="C88" s="14"/>
      <c r="D88" s="14"/>
      <c r="E88" s="15"/>
      <c r="F88" s="15"/>
      <c r="G88" s="17">
        <f t="shared" si="6"/>
        <v>0</v>
      </c>
      <c r="H88" s="12"/>
      <c r="I88" s="13" t="str">
        <f t="shared" ca="1" si="7"/>
        <v/>
      </c>
      <c r="J88" s="36">
        <f t="shared" ca="1" si="8"/>
        <v>0</v>
      </c>
      <c r="K88" s="14"/>
      <c r="L88" s="14"/>
    </row>
    <row r="89" spans="1:12" ht="16.5">
      <c r="A89" s="14"/>
      <c r="B89" s="14"/>
      <c r="C89" s="14"/>
      <c r="D89" s="14"/>
      <c r="E89" s="15"/>
      <c r="F89" s="15"/>
      <c r="G89" s="17">
        <f t="shared" si="6"/>
        <v>0</v>
      </c>
      <c r="H89" s="12"/>
      <c r="I89" s="13" t="str">
        <f t="shared" ca="1" si="7"/>
        <v/>
      </c>
      <c r="J89" s="36">
        <f t="shared" ca="1" si="8"/>
        <v>0</v>
      </c>
      <c r="K89" s="14"/>
      <c r="L89" s="14"/>
    </row>
    <row r="90" spans="1:12" ht="16.5">
      <c r="A90" s="14"/>
      <c r="B90" s="14"/>
      <c r="C90" s="14"/>
      <c r="D90" s="14"/>
      <c r="E90" s="15"/>
      <c r="F90" s="15"/>
      <c r="G90" s="17">
        <f t="shared" si="6"/>
        <v>0</v>
      </c>
      <c r="H90" s="12"/>
      <c r="I90" s="13" t="str">
        <f t="shared" ca="1" si="7"/>
        <v/>
      </c>
      <c r="J90" s="36">
        <f t="shared" ca="1" si="8"/>
        <v>0</v>
      </c>
      <c r="K90" s="14"/>
      <c r="L90" s="14"/>
    </row>
    <row r="91" spans="1:12" ht="16.5">
      <c r="A91" s="14"/>
      <c r="B91" s="14"/>
      <c r="C91" s="14"/>
      <c r="D91" s="14"/>
      <c r="E91" s="15"/>
      <c r="F91" s="15"/>
      <c r="G91" s="17">
        <f t="shared" si="6"/>
        <v>0</v>
      </c>
      <c r="H91" s="12"/>
      <c r="I91" s="13" t="str">
        <f t="shared" ca="1" si="7"/>
        <v/>
      </c>
      <c r="J91" s="36">
        <f t="shared" ca="1" si="8"/>
        <v>0</v>
      </c>
      <c r="K91" s="14"/>
      <c r="L91" s="14"/>
    </row>
    <row r="92" spans="1:12" ht="16.5">
      <c r="A92" s="14"/>
      <c r="B92" s="14"/>
      <c r="C92" s="14"/>
      <c r="D92" s="14"/>
      <c r="E92" s="15"/>
      <c r="F92" s="15"/>
      <c r="G92" s="17">
        <f t="shared" si="6"/>
        <v>0</v>
      </c>
      <c r="H92" s="12"/>
      <c r="I92" s="13" t="str">
        <f t="shared" ca="1" si="7"/>
        <v/>
      </c>
      <c r="J92" s="36">
        <f t="shared" ca="1" si="8"/>
        <v>0</v>
      </c>
      <c r="K92" s="14"/>
      <c r="L92" s="14"/>
    </row>
    <row r="93" spans="1:12" ht="16.5">
      <c r="A93" s="14"/>
      <c r="B93" s="14"/>
      <c r="C93" s="14"/>
      <c r="D93" s="14"/>
      <c r="E93" s="15"/>
      <c r="F93" s="15"/>
      <c r="G93" s="17">
        <f t="shared" si="6"/>
        <v>0</v>
      </c>
      <c r="H93" s="12"/>
      <c r="I93" s="13" t="str">
        <f t="shared" ca="1" si="7"/>
        <v/>
      </c>
      <c r="J93" s="36">
        <f t="shared" ca="1" si="8"/>
        <v>0</v>
      </c>
      <c r="K93" s="14"/>
      <c r="L93" s="14"/>
    </row>
    <row r="94" spans="1:12" ht="16.5">
      <c r="A94" s="14"/>
      <c r="B94" s="14"/>
      <c r="C94" s="14"/>
      <c r="D94" s="14"/>
      <c r="E94" s="15"/>
      <c r="F94" s="15"/>
      <c r="G94" s="17">
        <f t="shared" si="6"/>
        <v>0</v>
      </c>
      <c r="H94" s="12"/>
      <c r="I94" s="13" t="str">
        <f t="shared" ca="1" si="7"/>
        <v/>
      </c>
      <c r="J94" s="36">
        <f t="shared" ca="1" si="8"/>
        <v>0</v>
      </c>
      <c r="K94" s="14"/>
      <c r="L94" s="14"/>
    </row>
    <row r="95" spans="1:12" ht="16.5">
      <c r="A95" s="14"/>
      <c r="B95" s="14"/>
      <c r="C95" s="14"/>
      <c r="D95" s="14"/>
      <c r="E95" s="15"/>
      <c r="F95" s="15"/>
      <c r="G95" s="17">
        <f t="shared" si="6"/>
        <v>0</v>
      </c>
      <c r="H95" s="12"/>
      <c r="I95" s="13" t="str">
        <f t="shared" ca="1" si="7"/>
        <v/>
      </c>
      <c r="J95" s="36">
        <f t="shared" ca="1" si="8"/>
        <v>0</v>
      </c>
      <c r="K95" s="14"/>
      <c r="L95" s="14"/>
    </row>
    <row r="96" spans="1:12" ht="16.5">
      <c r="A96" s="14"/>
      <c r="B96" s="14"/>
      <c r="C96" s="14"/>
      <c r="D96" s="14"/>
      <c r="E96" s="15"/>
      <c r="F96" s="15"/>
      <c r="G96" s="17">
        <f t="shared" si="6"/>
        <v>0</v>
      </c>
      <c r="H96" s="12"/>
      <c r="I96" s="13" t="str">
        <f t="shared" ca="1" si="7"/>
        <v/>
      </c>
      <c r="J96" s="36">
        <f t="shared" ca="1" si="8"/>
        <v>0</v>
      </c>
      <c r="K96" s="14"/>
      <c r="L96" s="14"/>
    </row>
    <row r="97" spans="1:12" ht="16.5">
      <c r="A97" s="14"/>
      <c r="B97" s="14"/>
      <c r="C97" s="14"/>
      <c r="D97" s="14"/>
      <c r="E97" s="15"/>
      <c r="F97" s="15"/>
      <c r="G97" s="17">
        <f t="shared" si="6"/>
        <v>0</v>
      </c>
      <c r="H97" s="12"/>
      <c r="I97" s="13" t="str">
        <f t="shared" ca="1" si="7"/>
        <v/>
      </c>
      <c r="J97" s="36">
        <f t="shared" ca="1" si="8"/>
        <v>0</v>
      </c>
      <c r="K97" s="14"/>
      <c r="L97" s="14"/>
    </row>
    <row r="98" spans="1:12" ht="16.5">
      <c r="A98" s="14"/>
      <c r="B98" s="14"/>
      <c r="C98" s="14"/>
      <c r="D98" s="14"/>
      <c r="E98" s="15"/>
      <c r="F98" s="15"/>
      <c r="G98" s="17">
        <f t="shared" si="6"/>
        <v>0</v>
      </c>
      <c r="H98" s="12"/>
      <c r="I98" s="13" t="str">
        <f t="shared" ca="1" si="7"/>
        <v/>
      </c>
      <c r="J98" s="36">
        <f t="shared" ca="1" si="8"/>
        <v>0</v>
      </c>
      <c r="K98" s="14"/>
      <c r="L98" s="14"/>
    </row>
    <row r="99" spans="1:12" ht="16.5">
      <c r="A99" s="14"/>
      <c r="B99" s="14"/>
      <c r="C99" s="14"/>
      <c r="D99" s="14"/>
      <c r="E99" s="15"/>
      <c r="F99" s="15"/>
      <c r="G99" s="17">
        <f t="shared" si="6"/>
        <v>0</v>
      </c>
      <c r="H99" s="12"/>
      <c r="I99" s="13" t="str">
        <f t="shared" ca="1" si="7"/>
        <v/>
      </c>
      <c r="J99" s="36">
        <f t="shared" ca="1" si="8"/>
        <v>0</v>
      </c>
      <c r="K99" s="14"/>
      <c r="L99" s="14"/>
    </row>
    <row r="100" spans="1:12" ht="16.5">
      <c r="A100" s="14"/>
      <c r="B100" s="14"/>
      <c r="C100" s="14"/>
      <c r="D100" s="14"/>
      <c r="E100" s="15"/>
      <c r="F100" s="15"/>
      <c r="G100" s="17">
        <f t="shared" ref="G100:G131" si="9">E100-F100</f>
        <v>0</v>
      </c>
      <c r="H100" s="12"/>
      <c r="I100" s="13" t="str">
        <f t="shared" ref="I100:I131" ca="1" si="10">IF(A100="","",IF(G100&lt;=0,"已结清",IF(H100&lt;TODAY(),"已逾期","未到期")))</f>
        <v/>
      </c>
      <c r="J100" s="36">
        <f t="shared" ca="1" si="8"/>
        <v>0</v>
      </c>
      <c r="K100" s="14"/>
      <c r="L100" s="14"/>
    </row>
    <row r="101" spans="1:12" ht="16.5">
      <c r="A101" s="14"/>
      <c r="B101" s="14"/>
      <c r="C101" s="14"/>
      <c r="D101" s="14"/>
      <c r="E101" s="15"/>
      <c r="F101" s="15"/>
      <c r="G101" s="17">
        <f t="shared" si="9"/>
        <v>0</v>
      </c>
      <c r="H101" s="12"/>
      <c r="I101" s="13" t="str">
        <f t="shared" ca="1" si="10"/>
        <v/>
      </c>
      <c r="J101" s="36">
        <f t="shared" ca="1" si="8"/>
        <v>0</v>
      </c>
      <c r="K101" s="14"/>
      <c r="L101" s="14"/>
    </row>
    <row r="102" spans="1:12" ht="16.5">
      <c r="A102" s="14"/>
      <c r="B102" s="14"/>
      <c r="C102" s="14"/>
      <c r="D102" s="14"/>
      <c r="E102" s="15"/>
      <c r="F102" s="15"/>
      <c r="G102" s="17">
        <f t="shared" si="9"/>
        <v>0</v>
      </c>
      <c r="H102" s="12"/>
      <c r="I102" s="13" t="str">
        <f t="shared" ca="1" si="10"/>
        <v/>
      </c>
      <c r="J102" s="36">
        <f t="shared" ca="1" si="8"/>
        <v>0</v>
      </c>
      <c r="K102" s="14"/>
      <c r="L102" s="14"/>
    </row>
    <row r="103" spans="1:12" ht="16.5">
      <c r="A103" s="20"/>
      <c r="B103" s="20"/>
      <c r="C103" s="20"/>
      <c r="D103" s="20"/>
      <c r="E103" s="21"/>
      <c r="F103" s="21"/>
      <c r="G103" s="23">
        <f t="shared" si="9"/>
        <v>0</v>
      </c>
      <c r="H103" s="18"/>
      <c r="I103" s="19" t="str">
        <f t="shared" ca="1" si="10"/>
        <v/>
      </c>
      <c r="J103" s="37">
        <f t="shared" ca="1" si="8"/>
        <v>0</v>
      </c>
      <c r="K103" s="20"/>
      <c r="L103" s="20"/>
    </row>
  </sheetData>
  <mergeCells count="1">
    <mergeCell ref="A1:L2"/>
  </mergeCells>
  <phoneticPr fontId="12" type="noConversion"/>
  <conditionalFormatting sqref="I4:I103">
    <cfRule type="containsText" dxfId="1" priority="1" operator="containsText" text="已逾期"/>
    <cfRule type="containsText" dxfId="0" priority="2" operator="containsText" text="已结清"/>
  </conditionalFormatting>
  <dataValidations count="1">
    <dataValidation type="list" sqref="B4:B103" xr:uid="{00000000-0002-0000-0300-000000000000}">
      <formula1>"应收,应付"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workbookViewId="0"/>
  </sheetViews>
  <sheetFormatPr defaultRowHeight="14"/>
  <cols>
    <col min="1" max="1" width="14" customWidth="1"/>
    <col min="2" max="4" width="16" customWidth="1"/>
    <col min="5" max="5" width="18" customWidth="1"/>
    <col min="6" max="7" width="16" customWidth="1"/>
    <col min="8" max="8" width="14" customWidth="1"/>
  </cols>
  <sheetData>
    <row r="1" spans="1:8" ht="34" customHeight="1">
      <c r="A1" s="42" t="s">
        <v>147</v>
      </c>
      <c r="B1" s="42" t="s">
        <v>147</v>
      </c>
      <c r="C1" s="42" t="s">
        <v>147</v>
      </c>
      <c r="D1" s="42" t="s">
        <v>147</v>
      </c>
      <c r="E1" s="42" t="s">
        <v>147</v>
      </c>
      <c r="F1" s="42" t="s">
        <v>147</v>
      </c>
      <c r="G1" s="42" t="s">
        <v>147</v>
      </c>
      <c r="H1" s="42" t="s">
        <v>147</v>
      </c>
    </row>
    <row r="2" spans="1:8" ht="34" customHeight="1">
      <c r="A2" s="42" t="s">
        <v>147</v>
      </c>
      <c r="B2" s="42" t="s">
        <v>147</v>
      </c>
      <c r="C2" s="42" t="s">
        <v>147</v>
      </c>
      <c r="D2" s="42" t="s">
        <v>147</v>
      </c>
      <c r="E2" s="42" t="s">
        <v>147</v>
      </c>
      <c r="F2" s="42" t="s">
        <v>147</v>
      </c>
      <c r="G2" s="42" t="s">
        <v>147</v>
      </c>
      <c r="H2" s="42" t="s">
        <v>147</v>
      </c>
    </row>
    <row r="3" spans="1:8" ht="18.5">
      <c r="A3" s="1"/>
      <c r="B3" s="1"/>
      <c r="C3" s="1"/>
      <c r="D3" s="1"/>
      <c r="E3" s="1"/>
      <c r="F3" s="1"/>
      <c r="G3" s="1"/>
      <c r="H3" s="1"/>
    </row>
    <row r="4" spans="1:8" ht="30" customHeight="1">
      <c r="A4" s="5" t="s">
        <v>6</v>
      </c>
      <c r="B4" s="5" t="s">
        <v>22</v>
      </c>
      <c r="C4" s="5" t="s">
        <v>32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ht="16.5">
      <c r="A5" s="27" t="s">
        <v>153</v>
      </c>
      <c r="B5" s="25">
        <f>SUMIFS(财务流水!$L$5:$L$204,财务流水!$B$5:$B$204,A5,财务流水!$C$5:$C$204,"收入")</f>
        <v>286000</v>
      </c>
      <c r="C5" s="25">
        <f>SUMIFS(财务流水!$L$5:$L$204,财务流水!$B$5:$B$204,A5,财务流水!$C$5:$C$204,"支出")</f>
        <v>130000</v>
      </c>
      <c r="D5" s="25">
        <f t="shared" ref="D5:D16" si="0">B5-C5</f>
        <v>156000</v>
      </c>
      <c r="E5" s="25">
        <f>D5</f>
        <v>156000</v>
      </c>
      <c r="F5" s="25">
        <f>预算执行!$C$13/12</f>
        <v>340000</v>
      </c>
      <c r="G5" s="25">
        <f t="shared" ref="G5:G16" si="1">F5-C5</f>
        <v>210000</v>
      </c>
      <c r="H5" s="26">
        <f t="shared" ref="H5:H17" si="2">IFERROR(C5/F5,0)</f>
        <v>0.38235294117647056</v>
      </c>
    </row>
    <row r="6" spans="1:8" ht="16.5">
      <c r="A6" s="31" t="s">
        <v>154</v>
      </c>
      <c r="B6" s="29">
        <f>SUMIFS(财务流水!$L$5:$L$204,财务流水!$B$5:$B$204,A6,财务流水!$C$5:$C$204,"收入")</f>
        <v>301000</v>
      </c>
      <c r="C6" s="29">
        <f>SUMIFS(财务流水!$L$5:$L$204,财务流水!$B$5:$B$204,A6,财务流水!$C$5:$C$204,"支出")</f>
        <v>26000</v>
      </c>
      <c r="D6" s="29">
        <f t="shared" si="0"/>
        <v>275000</v>
      </c>
      <c r="E6" s="29">
        <f t="shared" ref="E6:E16" si="3">E5+D6</f>
        <v>431000</v>
      </c>
      <c r="F6" s="29">
        <f>预算执行!$C$13/12</f>
        <v>340000</v>
      </c>
      <c r="G6" s="29">
        <f t="shared" si="1"/>
        <v>314000</v>
      </c>
      <c r="H6" s="30">
        <f t="shared" si="2"/>
        <v>7.6470588235294124E-2</v>
      </c>
    </row>
    <row r="7" spans="1:8" ht="16.5">
      <c r="A7" s="31" t="s">
        <v>155</v>
      </c>
      <c r="B7" s="29">
        <f>SUMIFS(财务流水!$L$5:$L$204,财务流水!$B$5:$B$204,A7,财务流水!$C$5:$C$204,"收入")</f>
        <v>420000</v>
      </c>
      <c r="C7" s="29">
        <f>SUMIFS(财务流水!$L$5:$L$204,财务流水!$B$5:$B$204,A7,财务流水!$C$5:$C$204,"支出")</f>
        <v>185000</v>
      </c>
      <c r="D7" s="29">
        <f t="shared" si="0"/>
        <v>235000</v>
      </c>
      <c r="E7" s="29">
        <f t="shared" si="3"/>
        <v>666000</v>
      </c>
      <c r="F7" s="29">
        <f>预算执行!$C$13/12</f>
        <v>340000</v>
      </c>
      <c r="G7" s="29">
        <f t="shared" si="1"/>
        <v>155000</v>
      </c>
      <c r="H7" s="30">
        <f t="shared" si="2"/>
        <v>0.54411764705882348</v>
      </c>
    </row>
    <row r="8" spans="1:8" ht="16.5">
      <c r="A8" s="31" t="s">
        <v>156</v>
      </c>
      <c r="B8" s="29">
        <f>SUMIFS(财务流水!$L$5:$L$204,财务流水!$B$5:$B$204,A8,财务流水!$C$5:$C$204,"收入")</f>
        <v>318000</v>
      </c>
      <c r="C8" s="29">
        <f>SUMIFS(财务流水!$L$5:$L$204,财务流水!$B$5:$B$204,A8,财务流水!$C$5:$C$204,"支出")</f>
        <v>12800</v>
      </c>
      <c r="D8" s="29">
        <f t="shared" si="0"/>
        <v>305200</v>
      </c>
      <c r="E8" s="29">
        <f t="shared" si="3"/>
        <v>971200</v>
      </c>
      <c r="F8" s="29">
        <f>预算执行!$C$13/12</f>
        <v>340000</v>
      </c>
      <c r="G8" s="29">
        <f t="shared" si="1"/>
        <v>327200</v>
      </c>
      <c r="H8" s="30">
        <f t="shared" si="2"/>
        <v>3.7647058823529408E-2</v>
      </c>
    </row>
    <row r="9" spans="1:8" ht="16.5">
      <c r="A9" s="31" t="s">
        <v>157</v>
      </c>
      <c r="B9" s="29">
        <f>SUMIFS(财务流水!$L$5:$L$204,财务流水!$B$5:$B$204,A9,财务流水!$C$5:$C$204,"收入")</f>
        <v>0</v>
      </c>
      <c r="C9" s="29">
        <f>SUMIFS(财务流水!$L$5:$L$204,财务流水!$B$5:$B$204,A9,财务流水!$C$5:$C$204,"支出")</f>
        <v>54600</v>
      </c>
      <c r="D9" s="29">
        <f t="shared" si="0"/>
        <v>-54600</v>
      </c>
      <c r="E9" s="29">
        <f t="shared" si="3"/>
        <v>916600</v>
      </c>
      <c r="F9" s="29">
        <f>预算执行!$C$13/12</f>
        <v>340000</v>
      </c>
      <c r="G9" s="29">
        <f t="shared" si="1"/>
        <v>285400</v>
      </c>
      <c r="H9" s="30">
        <f t="shared" si="2"/>
        <v>0.16058823529411764</v>
      </c>
    </row>
    <row r="10" spans="1:8" ht="16.5">
      <c r="A10" s="31" t="s">
        <v>158</v>
      </c>
      <c r="B10" s="29">
        <f>SUMIFS(财务流水!$L$5:$L$204,财务流水!$B$5:$B$204,A10,财务流水!$C$5:$C$204,"收入")</f>
        <v>560000</v>
      </c>
      <c r="C10" s="29">
        <f>SUMIFS(财务流水!$L$5:$L$204,财务流水!$B$5:$B$204,A10,财务流水!$C$5:$C$204,"支出")</f>
        <v>32000</v>
      </c>
      <c r="D10" s="29">
        <f t="shared" si="0"/>
        <v>528000</v>
      </c>
      <c r="E10" s="29">
        <f t="shared" si="3"/>
        <v>1444600</v>
      </c>
      <c r="F10" s="29">
        <f>预算执行!$C$13/12</f>
        <v>340000</v>
      </c>
      <c r="G10" s="29">
        <f t="shared" si="1"/>
        <v>308000</v>
      </c>
      <c r="H10" s="30">
        <f t="shared" si="2"/>
        <v>9.4117647058823528E-2</v>
      </c>
    </row>
    <row r="11" spans="1:8" ht="16.5">
      <c r="A11" s="31" t="s">
        <v>159</v>
      </c>
      <c r="B11" s="29">
        <f>SUMIFS(财务流水!$L$5:$L$204,财务流水!$B$5:$B$204,A11,财务流水!$C$5:$C$204,"收入")</f>
        <v>555000</v>
      </c>
      <c r="C11" s="29">
        <f>SUMIFS(财务流水!$L$5:$L$204,财务流水!$B$5:$B$204,A11,财务流水!$C$5:$C$204,"支出")</f>
        <v>168000</v>
      </c>
      <c r="D11" s="29">
        <f t="shared" si="0"/>
        <v>387000</v>
      </c>
      <c r="E11" s="29">
        <f t="shared" si="3"/>
        <v>1831600</v>
      </c>
      <c r="F11" s="29">
        <f>预算执行!$C$13/12</f>
        <v>340000</v>
      </c>
      <c r="G11" s="29">
        <f t="shared" si="1"/>
        <v>172000</v>
      </c>
      <c r="H11" s="30">
        <f t="shared" si="2"/>
        <v>0.49411764705882355</v>
      </c>
    </row>
    <row r="12" spans="1:8" ht="16.5">
      <c r="A12" s="31" t="s">
        <v>160</v>
      </c>
      <c r="B12" s="29">
        <f>SUMIFS(财务流水!$L$5:$L$204,财务流水!$B$5:$B$204,A12,财务流水!$C$5:$C$204,"收入")</f>
        <v>0</v>
      </c>
      <c r="C12" s="29">
        <f>SUMIFS(财务流水!$L$5:$L$204,财务流水!$B$5:$B$204,A12,财务流水!$C$5:$C$204,"支出")</f>
        <v>0</v>
      </c>
      <c r="D12" s="29">
        <f t="shared" si="0"/>
        <v>0</v>
      </c>
      <c r="E12" s="29">
        <f t="shared" si="3"/>
        <v>1831600</v>
      </c>
      <c r="F12" s="29">
        <f>预算执行!$C$13/12</f>
        <v>340000</v>
      </c>
      <c r="G12" s="29">
        <f t="shared" si="1"/>
        <v>340000</v>
      </c>
      <c r="H12" s="30">
        <f t="shared" si="2"/>
        <v>0</v>
      </c>
    </row>
    <row r="13" spans="1:8" ht="16.5">
      <c r="A13" s="31" t="s">
        <v>161</v>
      </c>
      <c r="B13" s="29">
        <f>SUMIFS(财务流水!$L$5:$L$204,财务流水!$B$5:$B$204,A13,财务流水!$C$5:$C$204,"收入")</f>
        <v>0</v>
      </c>
      <c r="C13" s="29">
        <f>SUMIFS(财务流水!$L$5:$L$204,财务流水!$B$5:$B$204,A13,财务流水!$C$5:$C$204,"支出")</f>
        <v>0</v>
      </c>
      <c r="D13" s="29">
        <f t="shared" si="0"/>
        <v>0</v>
      </c>
      <c r="E13" s="29">
        <f t="shared" si="3"/>
        <v>1831600</v>
      </c>
      <c r="F13" s="29">
        <f>预算执行!$C$13/12</f>
        <v>340000</v>
      </c>
      <c r="G13" s="29">
        <f t="shared" si="1"/>
        <v>340000</v>
      </c>
      <c r="H13" s="30">
        <f t="shared" si="2"/>
        <v>0</v>
      </c>
    </row>
    <row r="14" spans="1:8" ht="16.5">
      <c r="A14" s="31" t="s">
        <v>162</v>
      </c>
      <c r="B14" s="29">
        <f>SUMIFS(财务流水!$L$5:$L$204,财务流水!$B$5:$B$204,A14,财务流水!$C$5:$C$204,"收入")</f>
        <v>0</v>
      </c>
      <c r="C14" s="29">
        <f>SUMIFS(财务流水!$L$5:$L$204,财务流水!$B$5:$B$204,A14,财务流水!$C$5:$C$204,"支出")</f>
        <v>0</v>
      </c>
      <c r="D14" s="29">
        <f t="shared" si="0"/>
        <v>0</v>
      </c>
      <c r="E14" s="29">
        <f t="shared" si="3"/>
        <v>1831600</v>
      </c>
      <c r="F14" s="29">
        <f>预算执行!$C$13/12</f>
        <v>340000</v>
      </c>
      <c r="G14" s="29">
        <f t="shared" si="1"/>
        <v>340000</v>
      </c>
      <c r="H14" s="30">
        <f t="shared" si="2"/>
        <v>0</v>
      </c>
    </row>
    <row r="15" spans="1:8" ht="16.5">
      <c r="A15" s="31" t="s">
        <v>163</v>
      </c>
      <c r="B15" s="29">
        <f>SUMIFS(财务流水!$L$5:$L$204,财务流水!$B$5:$B$204,A15,财务流水!$C$5:$C$204,"收入")</f>
        <v>0</v>
      </c>
      <c r="C15" s="29">
        <f>SUMIFS(财务流水!$L$5:$L$204,财务流水!$B$5:$B$204,A15,财务流水!$C$5:$C$204,"支出")</f>
        <v>0</v>
      </c>
      <c r="D15" s="29">
        <f t="shared" si="0"/>
        <v>0</v>
      </c>
      <c r="E15" s="29">
        <f t="shared" si="3"/>
        <v>1831600</v>
      </c>
      <c r="F15" s="29">
        <f>预算执行!$C$13/12</f>
        <v>340000</v>
      </c>
      <c r="G15" s="29">
        <f t="shared" si="1"/>
        <v>340000</v>
      </c>
      <c r="H15" s="30">
        <f t="shared" si="2"/>
        <v>0</v>
      </c>
    </row>
    <row r="16" spans="1:8" ht="16.5">
      <c r="A16" s="31" t="s">
        <v>164</v>
      </c>
      <c r="B16" s="29">
        <f>SUMIFS(财务流水!$L$5:$L$204,财务流水!$B$5:$B$204,A16,财务流水!$C$5:$C$204,"收入")</f>
        <v>0</v>
      </c>
      <c r="C16" s="29">
        <f>SUMIFS(财务流水!$L$5:$L$204,财务流水!$B$5:$B$204,A16,财务流水!$C$5:$C$204,"支出")</f>
        <v>0</v>
      </c>
      <c r="D16" s="29">
        <f t="shared" si="0"/>
        <v>0</v>
      </c>
      <c r="E16" s="29">
        <f t="shared" si="3"/>
        <v>1831600</v>
      </c>
      <c r="F16" s="29">
        <f>预算执行!$C$13/12</f>
        <v>340000</v>
      </c>
      <c r="G16" s="29">
        <f t="shared" si="1"/>
        <v>340000</v>
      </c>
      <c r="H16" s="30">
        <f t="shared" si="2"/>
        <v>0</v>
      </c>
    </row>
    <row r="17" spans="1:8" ht="16.5">
      <c r="A17" s="32" t="s">
        <v>165</v>
      </c>
      <c r="B17" s="33">
        <f>SUM(B5:B16)</f>
        <v>2440000</v>
      </c>
      <c r="C17" s="33">
        <f>SUM(C5:C16)</f>
        <v>608400</v>
      </c>
      <c r="D17" s="33">
        <f>SUM(D5:D16)</f>
        <v>1831600</v>
      </c>
      <c r="E17" s="33">
        <f>E16</f>
        <v>1831600</v>
      </c>
      <c r="F17" s="33">
        <f>SUM(F5:F16)</f>
        <v>4080000</v>
      </c>
      <c r="G17" s="33">
        <f>SUM(G5:G16)</f>
        <v>3471600</v>
      </c>
      <c r="H17" s="34">
        <f t="shared" si="2"/>
        <v>0.14911764705882352</v>
      </c>
    </row>
  </sheetData>
  <mergeCells count="1">
    <mergeCell ref="A1:H2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"/>
  <sheetViews>
    <sheetView showGridLines="0" tabSelected="1" workbookViewId="0">
      <selection sqref="A1:L2"/>
    </sheetView>
  </sheetViews>
  <sheetFormatPr defaultRowHeight="14"/>
  <cols>
    <col min="1" max="2" width="16" customWidth="1"/>
    <col min="3" max="3" width="12" customWidth="1"/>
    <col min="4" max="5" width="16" customWidth="1"/>
    <col min="6" max="6" width="12" customWidth="1"/>
    <col min="7" max="7" width="15" customWidth="1"/>
    <col min="8" max="8" width="16" customWidth="1"/>
    <col min="9" max="9" width="12" customWidth="1"/>
    <col min="10" max="11" width="16" customWidth="1"/>
    <col min="12" max="12" width="12" customWidth="1"/>
  </cols>
  <sheetData>
    <row r="1" spans="1:12" ht="34" customHeight="1">
      <c r="A1" s="42" t="s">
        <v>166</v>
      </c>
      <c r="B1" s="42" t="s">
        <v>166</v>
      </c>
      <c r="C1" s="42" t="s">
        <v>166</v>
      </c>
      <c r="D1" s="42" t="s">
        <v>166</v>
      </c>
      <c r="E1" s="42" t="s">
        <v>166</v>
      </c>
      <c r="F1" s="42" t="s">
        <v>166</v>
      </c>
      <c r="G1" s="42" t="s">
        <v>166</v>
      </c>
      <c r="H1" s="42" t="s">
        <v>166</v>
      </c>
      <c r="I1" s="42" t="s">
        <v>166</v>
      </c>
      <c r="J1" s="42" t="s">
        <v>166</v>
      </c>
      <c r="K1" s="42" t="s">
        <v>166</v>
      </c>
      <c r="L1" s="42" t="s">
        <v>166</v>
      </c>
    </row>
    <row r="2" spans="1:12" ht="34" customHeight="1">
      <c r="A2" s="42" t="s">
        <v>166</v>
      </c>
      <c r="B2" s="42" t="s">
        <v>166</v>
      </c>
      <c r="C2" s="42" t="s">
        <v>166</v>
      </c>
      <c r="D2" s="42" t="s">
        <v>166</v>
      </c>
      <c r="E2" s="42" t="s">
        <v>166</v>
      </c>
      <c r="F2" s="42" t="s">
        <v>166</v>
      </c>
      <c r="G2" s="42" t="s">
        <v>166</v>
      </c>
      <c r="H2" s="42" t="s">
        <v>166</v>
      </c>
      <c r="I2" s="42" t="s">
        <v>166</v>
      </c>
      <c r="J2" s="42" t="s">
        <v>166</v>
      </c>
      <c r="K2" s="42" t="s">
        <v>166</v>
      </c>
      <c r="L2" s="42" t="s">
        <v>166</v>
      </c>
    </row>
    <row r="3" spans="1:12" ht="18.5">
      <c r="A3" s="1" t="s">
        <v>167</v>
      </c>
      <c r="B3" s="38" t="s">
        <v>159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5">
      <c r="A5" s="47" t="s">
        <v>168</v>
      </c>
      <c r="B5" s="47"/>
      <c r="C5" s="47"/>
      <c r="D5" s="50" t="s">
        <v>169</v>
      </c>
      <c r="E5" s="50"/>
      <c r="F5" s="50"/>
      <c r="G5" s="53" t="s">
        <v>148</v>
      </c>
      <c r="H5" s="53"/>
      <c r="I5" s="53"/>
      <c r="J5" s="50" t="s">
        <v>170</v>
      </c>
      <c r="K5" s="50"/>
      <c r="L5" s="50"/>
    </row>
    <row r="6" spans="1:12" ht="26">
      <c r="A6" s="48">
        <f>SUMIFS(财务流水!$L$5:$L$204,财务流水!$B$5:$B$204,$B$3,财务流水!$C$5:$C$204,"收入")</f>
        <v>555000</v>
      </c>
      <c r="B6" s="49"/>
      <c r="C6" s="49"/>
      <c r="D6" s="51">
        <f>SUMIFS(财务流水!$L$5:$L$204,财务流水!$B$5:$B$204,$B$3,财务流水!$C$5:$C$204,"支出")</f>
        <v>168000</v>
      </c>
      <c r="E6" s="52"/>
      <c r="F6" s="52"/>
      <c r="G6" s="54">
        <f>A6-D6</f>
        <v>387000</v>
      </c>
      <c r="H6" s="55"/>
      <c r="I6" s="55"/>
      <c r="J6" s="51">
        <f ca="1">SUMIFS(应收应付!$G$4:$G$103,应收应付!$I$4:$I$103,"已逾期")</f>
        <v>266000</v>
      </c>
      <c r="K6" s="52"/>
      <c r="L6" s="52"/>
    </row>
    <row r="7" spans="1:12" ht="18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4" customHeight="1">
      <c r="A8" s="43" t="s">
        <v>171</v>
      </c>
      <c r="B8" s="43" t="s">
        <v>171</v>
      </c>
      <c r="C8" s="43" t="s">
        <v>171</v>
      </c>
      <c r="D8" s="43" t="s">
        <v>171</v>
      </c>
      <c r="E8" s="43" t="s">
        <v>171</v>
      </c>
      <c r="F8" s="43" t="s">
        <v>171</v>
      </c>
      <c r="G8" s="1"/>
      <c r="H8" s="1"/>
      <c r="I8" s="1"/>
      <c r="J8" s="1"/>
      <c r="K8" s="1"/>
      <c r="L8" s="1"/>
    </row>
    <row r="9" spans="1:12" ht="30" customHeight="1">
      <c r="A9" s="5" t="s">
        <v>10</v>
      </c>
      <c r="B9" s="5" t="s">
        <v>172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5">
      <c r="A10" s="2" t="s">
        <v>41</v>
      </c>
      <c r="B10" s="39">
        <f>SUMIFS(财务流水!$L$5:$L$204,财务流水!$B$5:$B$204,$B$3,财务流水!$C$5:$C$204,"支出",财务流水!$F$5:$F$204,A10)</f>
        <v>108000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5">
      <c r="A11" s="3" t="s">
        <v>77</v>
      </c>
      <c r="B11" s="40">
        <f>SUMIFS(财务流水!$L$5:$L$204,财务流水!$B$5:$B$204,$B$3,财务流水!$C$5:$C$204,"支出",财务流水!$F$5:$F$204,A11)</f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5">
      <c r="A12" s="3" t="s">
        <v>35</v>
      </c>
      <c r="B12" s="40">
        <f>SUMIFS(财务流水!$L$5:$L$204,财务流水!$B$5:$B$204,$B$3,财务流水!$C$5:$C$204,"支出",财务流水!$F$5:$F$204,A12)</f>
        <v>42000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5">
      <c r="A13" s="3" t="s">
        <v>72</v>
      </c>
      <c r="B13" s="40">
        <f>SUMIFS(财务流水!$L$5:$L$204,财务流水!$B$5:$B$204,$B$3,财务流水!$C$5:$C$204,"支出",财务流水!$F$5:$F$204,A13)</f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5">
      <c r="A14" s="3" t="s">
        <v>61</v>
      </c>
      <c r="B14" s="40">
        <f>SUMIFS(财务流水!$L$5:$L$204,财务流水!$B$5:$B$204,$B$3,财务流水!$C$5:$C$204,"支出",财务流水!$F$5:$F$204,A14)</f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5">
      <c r="A15" s="3" t="s">
        <v>49</v>
      </c>
      <c r="B15" s="40">
        <f>SUMIFS(财务流水!$L$5:$L$204,财务流水!$B$5:$B$204,$B$3,财务流水!$C$5:$C$204,"支出",财务流水!$F$5:$F$204,A15)</f>
        <v>18000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5">
      <c r="A16" s="3" t="s">
        <v>66</v>
      </c>
      <c r="B16" s="40">
        <f>SUMIFS(财务流水!$L$5:$L$204,财务流水!$B$5:$B$204,$B$3,财务流水!$C$5:$C$204,"支出",财务流水!$F$5:$F$204,A16)</f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5">
      <c r="A17" s="4" t="s">
        <v>86</v>
      </c>
      <c r="B17" s="41">
        <f>SUMIFS(财务流水!$L$5:$L$204,财务流水!$B$5:$B$204,$B$3,财务流水!$C$5:$C$204,"支出",财务流水!$F$5:$F$204,A17)</f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43" t="s">
        <v>173</v>
      </c>
      <c r="B20" s="43" t="s">
        <v>173</v>
      </c>
      <c r="C20" s="43" t="s">
        <v>173</v>
      </c>
      <c r="D20" s="43" t="s">
        <v>173</v>
      </c>
      <c r="E20" s="43" t="s">
        <v>173</v>
      </c>
      <c r="F20" s="43" t="s">
        <v>173</v>
      </c>
      <c r="G20" s="1"/>
      <c r="H20" s="1"/>
      <c r="I20" s="1"/>
      <c r="J20" s="1"/>
      <c r="K20" s="1"/>
      <c r="L20" s="1"/>
    </row>
    <row r="21" spans="1:12" ht="18.5">
      <c r="A21" s="56" t="str">
        <f ca="1">IF(J6&gt;0,"存在逾期未结款项，请优先核对“应收应付”工作表。",IF(D6&gt;A6,"本月支出高于收入，请关注现金流与预算执行。","本月现金流为正，继续跟踪未开票和未付款事项。"))</f>
        <v>存在逾期未结款项，请优先核对“应收应付”工作表。</v>
      </c>
      <c r="B21" s="56"/>
      <c r="C21" s="56"/>
      <c r="D21" s="56"/>
      <c r="E21" s="56"/>
      <c r="F21" s="56"/>
      <c r="G21" s="1"/>
      <c r="H21" s="1"/>
      <c r="I21" s="1"/>
      <c r="J21" s="1"/>
      <c r="K21" s="1"/>
      <c r="L21" s="1"/>
    </row>
    <row r="22" spans="1:12" ht="18.5">
      <c r="A22" s="56"/>
      <c r="B22" s="56"/>
      <c r="C22" s="56"/>
      <c r="D22" s="56"/>
      <c r="E22" s="56"/>
      <c r="F22" s="56"/>
      <c r="G22" s="1" t="s">
        <v>6</v>
      </c>
      <c r="H22" s="1" t="s">
        <v>148</v>
      </c>
      <c r="I22" s="1"/>
      <c r="J22" s="1"/>
      <c r="K22" s="1"/>
      <c r="L22" s="1"/>
    </row>
    <row r="23" spans="1:12" ht="18.5">
      <c r="A23" s="56"/>
      <c r="B23" s="56"/>
      <c r="C23" s="56"/>
      <c r="D23" s="56"/>
      <c r="E23" s="56"/>
      <c r="F23" s="56"/>
      <c r="G23" s="1" t="str">
        <f>月度汇总!A5</f>
        <v>2026-01</v>
      </c>
      <c r="H23" s="1">
        <f>月度汇总!D5</f>
        <v>156000</v>
      </c>
      <c r="I23" s="1"/>
      <c r="J23" s="1"/>
      <c r="K23" s="1"/>
      <c r="L23" s="1"/>
    </row>
    <row r="24" spans="1:12" ht="18.5">
      <c r="A24" s="56"/>
      <c r="B24" s="56"/>
      <c r="C24" s="56"/>
      <c r="D24" s="56"/>
      <c r="E24" s="56"/>
      <c r="F24" s="56"/>
      <c r="G24" s="1" t="str">
        <f>月度汇总!A6</f>
        <v>2026-02</v>
      </c>
      <c r="H24" s="1">
        <f>月度汇总!D6</f>
        <v>275000</v>
      </c>
      <c r="I24" s="1"/>
      <c r="J24" s="1"/>
      <c r="K24" s="1"/>
      <c r="L24" s="1"/>
    </row>
    <row r="25" spans="1:12" ht="18.5">
      <c r="A25" s="1"/>
      <c r="B25" s="1"/>
      <c r="C25" s="1"/>
      <c r="D25" s="1"/>
      <c r="E25" s="1"/>
      <c r="F25" s="1"/>
      <c r="G25" s="1" t="str">
        <f>月度汇总!A7</f>
        <v>2026-03</v>
      </c>
      <c r="H25" s="1">
        <f>月度汇总!D7</f>
        <v>235000</v>
      </c>
      <c r="I25" s="1"/>
      <c r="J25" s="1"/>
      <c r="K25" s="1"/>
      <c r="L25" s="1"/>
    </row>
    <row r="26" spans="1:12" ht="18.5">
      <c r="A26" s="1"/>
      <c r="B26" s="1"/>
      <c r="C26" s="1"/>
      <c r="D26" s="1"/>
      <c r="E26" s="1"/>
      <c r="F26" s="1"/>
      <c r="G26" s="1" t="str">
        <f>月度汇总!A8</f>
        <v>2026-04</v>
      </c>
      <c r="H26" s="1">
        <f>月度汇总!D8</f>
        <v>305200</v>
      </c>
      <c r="I26" s="1"/>
      <c r="J26" s="1"/>
      <c r="K26" s="1"/>
      <c r="L26" s="1"/>
    </row>
    <row r="27" spans="1:12" ht="18.5">
      <c r="A27" s="1"/>
      <c r="B27" s="1"/>
      <c r="C27" s="1"/>
      <c r="D27" s="1"/>
      <c r="E27" s="1"/>
      <c r="F27" s="1"/>
      <c r="G27" s="1" t="str">
        <f>月度汇总!A9</f>
        <v>2026-05</v>
      </c>
      <c r="H27" s="1">
        <f>月度汇总!D9</f>
        <v>-54600</v>
      </c>
      <c r="I27" s="1"/>
      <c r="J27" s="1"/>
      <c r="K27" s="1"/>
      <c r="L27" s="1"/>
    </row>
    <row r="28" spans="1:12" ht="18.5">
      <c r="A28" s="1"/>
      <c r="B28" s="1"/>
      <c r="C28" s="1"/>
      <c r="D28" s="1"/>
      <c r="E28" s="1"/>
      <c r="F28" s="1"/>
      <c r="G28" s="1" t="str">
        <f>月度汇总!A10</f>
        <v>2026-06</v>
      </c>
      <c r="H28" s="1">
        <f>月度汇总!D10</f>
        <v>528000</v>
      </c>
      <c r="I28" s="1"/>
      <c r="J28" s="1"/>
      <c r="K28" s="1"/>
      <c r="L28" s="1"/>
    </row>
    <row r="29" spans="1:12" ht="18.5">
      <c r="A29" s="1"/>
      <c r="B29" s="1"/>
      <c r="C29" s="1"/>
      <c r="D29" s="1"/>
      <c r="E29" s="1"/>
      <c r="F29" s="1"/>
      <c r="G29" s="1" t="str">
        <f>月度汇总!A11</f>
        <v>2026-07</v>
      </c>
      <c r="H29" s="1">
        <f>月度汇总!D11</f>
        <v>387000</v>
      </c>
      <c r="I29" s="1"/>
      <c r="J29" s="1"/>
      <c r="K29" s="1"/>
      <c r="L29" s="1"/>
    </row>
    <row r="30" spans="1:12" ht="18.5">
      <c r="A30" s="1"/>
      <c r="B30" s="1"/>
      <c r="C30" s="1"/>
      <c r="D30" s="1"/>
      <c r="E30" s="1"/>
      <c r="F30" s="1"/>
      <c r="G30" s="1" t="str">
        <f>月度汇总!A12</f>
        <v>2026-08</v>
      </c>
      <c r="H30" s="1">
        <f>月度汇总!D12</f>
        <v>0</v>
      </c>
      <c r="I30" s="1"/>
      <c r="J30" s="1"/>
      <c r="K30" s="1"/>
      <c r="L30" s="1"/>
    </row>
    <row r="31" spans="1:12" ht="18.5">
      <c r="A31" s="1"/>
      <c r="B31" s="1"/>
      <c r="C31" s="1"/>
      <c r="D31" s="1"/>
      <c r="E31" s="1"/>
      <c r="F31" s="1"/>
      <c r="G31" s="1" t="str">
        <f>月度汇总!A13</f>
        <v>2026-09</v>
      </c>
      <c r="H31" s="1">
        <f>月度汇总!D13</f>
        <v>0</v>
      </c>
      <c r="I31" s="1"/>
      <c r="J31" s="1"/>
      <c r="K31" s="1"/>
      <c r="L31" s="1"/>
    </row>
    <row r="32" spans="1:12" ht="18.5">
      <c r="A32" s="1"/>
      <c r="B32" s="1"/>
      <c r="C32" s="1"/>
      <c r="D32" s="1"/>
      <c r="E32" s="1"/>
      <c r="F32" s="1"/>
      <c r="G32" s="1" t="str">
        <f>月度汇总!A14</f>
        <v>2026-10</v>
      </c>
      <c r="H32" s="1">
        <f>月度汇总!D14</f>
        <v>0</v>
      </c>
      <c r="I32" s="1"/>
      <c r="J32" s="1"/>
      <c r="K32" s="1"/>
      <c r="L32" s="1"/>
    </row>
    <row r="33" spans="1:12" ht="18.5">
      <c r="A33" s="1"/>
      <c r="B33" s="1"/>
      <c r="C33" s="1"/>
      <c r="D33" s="1"/>
      <c r="E33" s="1"/>
      <c r="F33" s="1"/>
      <c r="G33" s="1" t="str">
        <f>月度汇总!A15</f>
        <v>2026-11</v>
      </c>
      <c r="H33" s="1">
        <f>月度汇总!D15</f>
        <v>0</v>
      </c>
      <c r="I33" s="1"/>
      <c r="J33" s="1"/>
      <c r="K33" s="1"/>
      <c r="L33" s="1"/>
    </row>
    <row r="34" spans="1:12" ht="18.5">
      <c r="A34" s="1"/>
      <c r="B34" s="1"/>
      <c r="C34" s="1"/>
      <c r="D34" s="1"/>
      <c r="E34" s="1"/>
      <c r="F34" s="1"/>
      <c r="G34" s="1" t="str">
        <f>月度汇总!A16</f>
        <v>2026-12</v>
      </c>
      <c r="H34" s="1">
        <f>月度汇总!D16</f>
        <v>0</v>
      </c>
      <c r="I34" s="1"/>
      <c r="J34" s="1"/>
      <c r="K34" s="1"/>
      <c r="L34" s="1"/>
    </row>
  </sheetData>
  <mergeCells count="12">
    <mergeCell ref="A8:F8"/>
    <mergeCell ref="A20:F20"/>
    <mergeCell ref="A21:F24"/>
    <mergeCell ref="A1:L2"/>
    <mergeCell ref="A5:C5"/>
    <mergeCell ref="A6:C6"/>
    <mergeCell ref="D5:F5"/>
    <mergeCell ref="D6:F6"/>
    <mergeCell ref="G5:I5"/>
    <mergeCell ref="G6:I6"/>
    <mergeCell ref="J5:L5"/>
    <mergeCell ref="J6:L6"/>
  </mergeCells>
  <phoneticPr fontId="12" type="noConversion"/>
  <dataValidations count="1">
    <dataValidation type="list" sqref="B3" xr:uid="{00000000-0002-0000-0500-000000000000}">
      <formula1>"2026-01,2026-02,2026-03,2026-04,2026-05,2026-06,2026-07,2026-08,2026-09,2026-10,2026-11,2026-12"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财务流水</vt:lpstr>
      <vt:lpstr>预算执行</vt:lpstr>
      <vt:lpstr>应收应付</vt:lpstr>
      <vt:lpstr>月度汇总</vt:lpstr>
      <vt:lpstr>管理看板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浩田 季</cp:lastModifiedBy>
  <dcterms:modified xsi:type="dcterms:W3CDTF">2026-07-18T16:17:03Z</dcterms:modified>
</cp:coreProperties>
</file>