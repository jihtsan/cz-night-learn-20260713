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3260" windowWidth="28800" windowHeight="15370" tabRatio="600" firstSheet="0" activeTab="4" autoFilterDateGrouping="1"/>
  </bookViews>
  <sheets>
    <sheet xmlns:r="http://schemas.openxmlformats.org/officeDocument/2006/relationships" name="财务流水" sheetId="1" state="visible" r:id="rId1"/>
    <sheet xmlns:r="http://schemas.openxmlformats.org/officeDocument/2006/relationships" name="预算执行" sheetId="2" state="visible" r:id="rId2"/>
    <sheet xmlns:r="http://schemas.openxmlformats.org/officeDocument/2006/relationships" name="应收应付" sheetId="3" state="visible" r:id="rId3"/>
    <sheet xmlns:r="http://schemas.openxmlformats.org/officeDocument/2006/relationships" name="月度汇总" sheetId="4" state="visible" r:id="rId4"/>
    <sheet xmlns:r="http://schemas.openxmlformats.org/officeDocument/2006/relationships" name="管理看板" sheetId="5" state="visible" r:id="rId5"/>
    <sheet xmlns:r="http://schemas.openxmlformats.org/officeDocument/2006/relationships" name="公式溯源" sheetId="6" state="visible" r:id="rId6"/>
    <sheet xmlns:r="http://schemas.openxmlformats.org/officeDocument/2006/relationships" name="数据检查清单" sheetId="7" state="visible" r:id="rId7"/>
    <sheet xmlns:r="http://schemas.openxmlformats.org/officeDocument/2006/relationships" name="图表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00;[Red]\(#,##0.00\);\-"/>
    <numFmt numFmtId="166" formatCode="#,##0;[Red]\(#,##0\);\-"/>
    <numFmt numFmtId="167" formatCode="0.0%"/>
  </numFmts>
  <fonts count="19">
    <font>
      <name val="Carlito"/>
      <sz val="11"/>
    </font>
    <font>
      <name val="Noto Sans SC Thin"/>
      <charset val="134"/>
      <family val="2"/>
      <b val="1"/>
      <color rgb="FFFFFFFF"/>
      <sz val="18"/>
    </font>
    <font>
      <name val="Noto Sans SC Thin"/>
      <charset val="134"/>
      <family val="2"/>
      <sz val="11"/>
    </font>
    <font>
      <name val="Noto Sans SC Thin"/>
      <charset val="134"/>
      <family val="2"/>
      <color rgb="FF333333"/>
      <sz val="10"/>
    </font>
    <font>
      <name val="Noto Sans SC Thin"/>
      <charset val="134"/>
      <family val="2"/>
      <b val="1"/>
      <color rgb="FF17365D"/>
      <sz val="12"/>
    </font>
    <font>
      <name val="Noto Sans SC Thin"/>
      <charset val="134"/>
      <family val="2"/>
      <b val="1"/>
      <color rgb="FFFFFFFF"/>
      <sz val="11"/>
    </font>
    <font>
      <name val="Noto Sans SC Thin"/>
      <charset val="134"/>
      <family val="2"/>
      <color rgb="FF7F6000"/>
      <sz val="11"/>
    </font>
    <font>
      <name val="Noto Sans SC Thin"/>
      <charset val="134"/>
      <family val="2"/>
      <b val="1"/>
      <color rgb="FF17365D"/>
      <sz val="10"/>
    </font>
    <font>
      <name val="Noto Sans SC Thin"/>
      <charset val="134"/>
      <family val="2"/>
      <b val="1"/>
      <color rgb="FF17365D"/>
      <sz val="11"/>
    </font>
    <font>
      <name val="Noto Sans SC Thin"/>
      <charset val="134"/>
      <family val="2"/>
      <b val="1"/>
      <color rgb="FF333333"/>
      <sz val="16"/>
    </font>
    <font>
      <name val="Noto Sans SC Thin"/>
      <charset val="134"/>
      <family val="2"/>
      <color rgb="FF333333"/>
      <sz val="11"/>
    </font>
    <font>
      <name val="Carlito"/>
      <sz val="11"/>
    </font>
    <font>
      <name val="宋体"/>
      <charset val="134"/>
      <family val="3"/>
      <sz val="9"/>
    </font>
    <font>
      <name val="微软雅黑"/>
      <b val="1"/>
      <color rgb="00FFFFFF"/>
      <sz val="12"/>
    </font>
    <font>
      <name val="微软雅黑"/>
      <i val="1"/>
      <color rgb="00C00000"/>
      <sz val="9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1F3864"/>
      <sz val="10"/>
    </font>
    <font>
      <name val="微软雅黑"/>
      <b val="1"/>
      <color rgb="001F3864"/>
      <sz val="11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double">
        <color rgb="FF17365D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11" fillId="0" borderId="0"/>
    <xf numFmtId="0" fontId="11" fillId="0" borderId="0"/>
  </cellStyleXfs>
  <cellXfs count="94">
    <xf numFmtId="0" fontId="0" fillId="0" borderId="0" pivotButton="0" quotePrefix="0" xfId="0"/>
    <xf numFmtId="0" fontId="2" fillId="0" borderId="0" pivotButton="0" quotePrefix="0" xfId="1"/>
    <xf numFmtId="0" fontId="3" fillId="0" borderId="1" applyAlignment="1" pivotButton="0" quotePrefix="0" xfId="1">
      <alignment vertical="center"/>
    </xf>
    <xf numFmtId="0" fontId="3" fillId="0" borderId="2" applyAlignment="1" pivotButton="0" quotePrefix="0" xfId="1">
      <alignment vertical="center"/>
    </xf>
    <xf numFmtId="0" fontId="3" fillId="0" borderId="3" applyAlignment="1" pivotButton="0" quotePrefix="0" xfId="1">
      <alignment vertical="center"/>
    </xf>
    <xf numFmtId="0" fontId="5" fillId="5" borderId="4" applyAlignment="1" pivotButton="0" quotePrefix="0" xfId="1">
      <alignment horizontal="center" vertical="center" wrapText="1"/>
    </xf>
    <xf numFmtId="164" fontId="3" fillId="6" borderId="1" applyAlignment="1" pivotButton="0" quotePrefix="0" xfId="1">
      <alignment vertical="center" wrapText="1"/>
    </xf>
    <xf numFmtId="0" fontId="3" fillId="7" borderId="1" applyAlignment="1" pivotButton="0" quotePrefix="0" xfId="1">
      <alignment vertical="center" wrapText="1"/>
    </xf>
    <xf numFmtId="0" fontId="3" fillId="6" borderId="1" applyAlignment="1" pivotButton="0" quotePrefix="0" xfId="1">
      <alignment vertical="center" wrapText="1"/>
    </xf>
    <xf numFmtId="165" fontId="3" fillId="6" borderId="1" applyAlignment="1" pivotButton="0" quotePrefix="0" xfId="1">
      <alignment vertical="center" wrapText="1"/>
    </xf>
    <xf numFmtId="9" fontId="3" fillId="6" borderId="1" applyAlignment="1" pivotButton="0" quotePrefix="0" xfId="1">
      <alignment vertical="center" wrapText="1"/>
    </xf>
    <xf numFmtId="165" fontId="3" fillId="7" borderId="1" applyAlignment="1" pivotButton="0" quotePrefix="0" xfId="1">
      <alignment vertical="center" wrapText="1"/>
    </xf>
    <xf numFmtId="164" fontId="3" fillId="6" borderId="2" applyAlignment="1" pivotButton="0" quotePrefix="0" xfId="1">
      <alignment vertical="center" wrapText="1"/>
    </xf>
    <xf numFmtId="0" fontId="3" fillId="7" borderId="2" applyAlignment="1" pivotButton="0" quotePrefix="0" xfId="1">
      <alignment vertical="center" wrapText="1"/>
    </xf>
    <xf numFmtId="0" fontId="3" fillId="6" borderId="2" applyAlignment="1" pivotButton="0" quotePrefix="0" xfId="1">
      <alignment vertical="center" wrapText="1"/>
    </xf>
    <xf numFmtId="165" fontId="3" fillId="6" borderId="2" applyAlignment="1" pivotButton="0" quotePrefix="0" xfId="1">
      <alignment vertical="center" wrapText="1"/>
    </xf>
    <xf numFmtId="9" fontId="3" fillId="6" borderId="2" applyAlignment="1" pivotButton="0" quotePrefix="0" xfId="1">
      <alignment vertical="center" wrapText="1"/>
    </xf>
    <xf numFmtId="165" fontId="3" fillId="7" borderId="2" applyAlignment="1" pivotButton="0" quotePrefix="0" xfId="1">
      <alignment vertical="center" wrapText="1"/>
    </xf>
    <xf numFmtId="164" fontId="3" fillId="6" borderId="3" applyAlignment="1" pivotButton="0" quotePrefix="0" xfId="1">
      <alignment vertical="center" wrapText="1"/>
    </xf>
    <xf numFmtId="0" fontId="3" fillId="7" borderId="3" applyAlignment="1" pivotButton="0" quotePrefix="0" xfId="1">
      <alignment vertical="center" wrapText="1"/>
    </xf>
    <xf numFmtId="0" fontId="3" fillId="6" borderId="3" applyAlignment="1" pivotButton="0" quotePrefix="0" xfId="1">
      <alignment vertical="center" wrapText="1"/>
    </xf>
    <xf numFmtId="165" fontId="3" fillId="6" borderId="3" applyAlignment="1" pivotButton="0" quotePrefix="0" xfId="1">
      <alignment vertical="center" wrapText="1"/>
    </xf>
    <xf numFmtId="9" fontId="3" fillId="6" borderId="3" applyAlignment="1" pivotButton="0" quotePrefix="0" xfId="1">
      <alignment vertical="center" wrapText="1"/>
    </xf>
    <xf numFmtId="165" fontId="3" fillId="7" borderId="3" applyAlignment="1" pivotButton="0" quotePrefix="0" xfId="1">
      <alignment vertical="center" wrapText="1"/>
    </xf>
    <xf numFmtId="166" fontId="3" fillId="6" borderId="1" applyAlignment="1" pivotButton="0" quotePrefix="0" xfId="1">
      <alignment vertical="center"/>
    </xf>
    <xf numFmtId="166" fontId="3" fillId="7" borderId="1" applyAlignment="1" pivotButton="0" quotePrefix="0" xfId="1">
      <alignment vertical="center"/>
    </xf>
    <xf numFmtId="167" fontId="3" fillId="7" borderId="1" applyAlignment="1" pivotButton="0" quotePrefix="0" xfId="1">
      <alignment vertical="center"/>
    </xf>
    <xf numFmtId="0" fontId="3" fillId="7" borderId="1" applyAlignment="1" pivotButton="0" quotePrefix="0" xfId="1">
      <alignment vertical="center"/>
    </xf>
    <xf numFmtId="166" fontId="3" fillId="6" borderId="2" applyAlignment="1" pivotButton="0" quotePrefix="0" xfId="1">
      <alignment vertical="center"/>
    </xf>
    <xf numFmtId="166" fontId="3" fillId="7" borderId="2" applyAlignment="1" pivotButton="0" quotePrefix="0" xfId="1">
      <alignment vertical="center"/>
    </xf>
    <xf numFmtId="167" fontId="3" fillId="7" borderId="2" applyAlignment="1" pivotButton="0" quotePrefix="0" xfId="1">
      <alignment vertical="center"/>
    </xf>
    <xf numFmtId="0" fontId="3" fillId="7" borderId="2" applyAlignment="1" pivotButton="0" quotePrefix="0" xfId="1">
      <alignment vertical="center"/>
    </xf>
    <xf numFmtId="0" fontId="7" fillId="9" borderId="5" applyAlignment="1" pivotButton="0" quotePrefix="0" xfId="1">
      <alignment vertical="center"/>
    </xf>
    <xf numFmtId="166" fontId="7" fillId="9" borderId="5" applyAlignment="1" pivotButton="0" quotePrefix="0" xfId="1">
      <alignment vertical="center"/>
    </xf>
    <xf numFmtId="167" fontId="7" fillId="9" borderId="5" applyAlignment="1" pivotButton="0" quotePrefix="0" xfId="1">
      <alignment vertical="center"/>
    </xf>
    <xf numFmtId="1" fontId="3" fillId="7" borderId="1" applyAlignment="1" pivotButton="0" quotePrefix="0" xfId="1">
      <alignment vertical="center" wrapText="1"/>
    </xf>
    <xf numFmtId="1" fontId="3" fillId="7" borderId="2" applyAlignment="1" pivotButton="0" quotePrefix="0" xfId="1">
      <alignment vertical="center" wrapText="1"/>
    </xf>
    <xf numFmtId="1" fontId="3" fillId="7" borderId="3" applyAlignment="1" pivotButton="0" quotePrefix="0" xfId="1">
      <alignment vertical="center" wrapText="1"/>
    </xf>
    <xf numFmtId="0" fontId="8" fillId="6" borderId="0" applyAlignment="1" pivotButton="0" quotePrefix="0" xfId="1">
      <alignment horizontal="center"/>
    </xf>
    <xf numFmtId="166" fontId="3" fillId="0" borderId="1" applyAlignment="1" pivotButton="0" quotePrefix="0" xfId="1">
      <alignment vertical="center"/>
    </xf>
    <xf numFmtId="166" fontId="3" fillId="0" borderId="2" applyAlignment="1" pivotButton="0" quotePrefix="0" xfId="1">
      <alignment vertical="center"/>
    </xf>
    <xf numFmtId="166" fontId="3" fillId="0" borderId="3" applyAlignment="1" pivotButton="0" quotePrefix="0" xfId="1">
      <alignment vertical="center"/>
    </xf>
    <xf numFmtId="0" fontId="1" fillId="2" borderId="0" applyAlignment="1" pivotButton="0" quotePrefix="0" xfId="1">
      <alignment horizontal="left" vertical="center"/>
    </xf>
    <xf numFmtId="0" fontId="4" fillId="4" borderId="0" applyAlignment="1" pivotButton="0" quotePrefix="0" xfId="1">
      <alignment vertical="center"/>
    </xf>
    <xf numFmtId="0" fontId="6" fillId="6" borderId="0" applyAlignment="1" pivotButton="0" quotePrefix="0" xfId="1">
      <alignment wrapText="1"/>
    </xf>
    <xf numFmtId="0" fontId="6" fillId="6" borderId="0" pivotButton="0" quotePrefix="0" xfId="1"/>
    <xf numFmtId="0" fontId="7" fillId="9" borderId="5" applyAlignment="1" pivotButton="0" quotePrefix="0" xfId="1">
      <alignment vertical="center"/>
    </xf>
    <xf numFmtId="0" fontId="8" fillId="4" borderId="0" applyAlignment="1" pivotButton="0" quotePrefix="0" xfId="1">
      <alignment horizontal="center"/>
    </xf>
    <xf numFmtId="166" fontId="9" fillId="4" borderId="0" applyAlignment="1" pivotButton="0" quotePrefix="0" xfId="1">
      <alignment horizontal="center"/>
    </xf>
    <xf numFmtId="0" fontId="9" fillId="4" borderId="0" applyAlignment="1" pivotButton="0" quotePrefix="0" xfId="1">
      <alignment horizontal="center"/>
    </xf>
    <xf numFmtId="0" fontId="8" fillId="8" borderId="0" applyAlignment="1" pivotButton="0" quotePrefix="0" xfId="1">
      <alignment horizontal="center"/>
    </xf>
    <xf numFmtId="166" fontId="9" fillId="8" borderId="0" applyAlignment="1" pivotButton="0" quotePrefix="0" xfId="1">
      <alignment horizontal="center"/>
    </xf>
    <xf numFmtId="0" fontId="9" fillId="8" borderId="0" applyAlignment="1" pivotButton="0" quotePrefix="0" xfId="1">
      <alignment horizontal="center"/>
    </xf>
    <xf numFmtId="0" fontId="8" fillId="7" borderId="0" applyAlignment="1" pivotButton="0" quotePrefix="0" xfId="1">
      <alignment horizontal="center"/>
    </xf>
    <xf numFmtId="166" fontId="9" fillId="7" borderId="0" applyAlignment="1" pivotButton="0" quotePrefix="0" xfId="1">
      <alignment horizontal="center"/>
    </xf>
    <xf numFmtId="0" fontId="9" fillId="7" borderId="0" applyAlignment="1" pivotButton="0" quotePrefix="0" xfId="1">
      <alignment horizontal="center"/>
    </xf>
    <xf numFmtId="0" fontId="10" fillId="3" borderId="0" applyAlignment="1" pivotButton="0" quotePrefix="0" xfId="1">
      <alignment vertical="top" wrapText="1"/>
    </xf>
    <xf numFmtId="164" fontId="3" fillId="6" borderId="1" applyAlignment="1" pivotButton="0" quotePrefix="0" xfId="1">
      <alignment vertical="center" wrapText="1"/>
    </xf>
    <xf numFmtId="165" fontId="3" fillId="6" borderId="1" applyAlignment="1" pivotButton="0" quotePrefix="0" xfId="1">
      <alignment vertical="center" wrapText="1"/>
    </xf>
    <xf numFmtId="165" fontId="3" fillId="7" borderId="1" applyAlignment="1" pivotButton="0" quotePrefix="0" xfId="1">
      <alignment vertical="center" wrapText="1"/>
    </xf>
    <xf numFmtId="164" fontId="3" fillId="6" borderId="2" applyAlignment="1" pivotButton="0" quotePrefix="0" xfId="1">
      <alignment vertical="center" wrapText="1"/>
    </xf>
    <xf numFmtId="165" fontId="3" fillId="6" borderId="2" applyAlignment="1" pivotButton="0" quotePrefix="0" xfId="1">
      <alignment vertical="center" wrapText="1"/>
    </xf>
    <xf numFmtId="165" fontId="3" fillId="7" borderId="2" applyAlignment="1" pivotButton="0" quotePrefix="0" xfId="1">
      <alignment vertical="center" wrapText="1"/>
    </xf>
    <xf numFmtId="164" fontId="3" fillId="6" borderId="3" applyAlignment="1" pivotButton="0" quotePrefix="0" xfId="1">
      <alignment vertical="center" wrapText="1"/>
    </xf>
    <xf numFmtId="165" fontId="3" fillId="6" borderId="3" applyAlignment="1" pivotButton="0" quotePrefix="0" xfId="1">
      <alignment vertical="center" wrapText="1"/>
    </xf>
    <xf numFmtId="165" fontId="3" fillId="7" borderId="3" applyAlignment="1" pivotButton="0" quotePrefix="0" xfId="1">
      <alignment vertical="center" wrapText="1"/>
    </xf>
    <xf numFmtId="166" fontId="3" fillId="6" borderId="1" applyAlignment="1" pivotButton="0" quotePrefix="0" xfId="1">
      <alignment vertical="center"/>
    </xf>
    <xf numFmtId="166" fontId="3" fillId="7" borderId="1" applyAlignment="1" pivotButton="0" quotePrefix="0" xfId="1">
      <alignment vertical="center"/>
    </xf>
    <xf numFmtId="167" fontId="3" fillId="7" borderId="1" applyAlignment="1" pivotButton="0" quotePrefix="0" xfId="1">
      <alignment vertical="center"/>
    </xf>
    <xf numFmtId="166" fontId="3" fillId="6" borderId="2" applyAlignment="1" pivotButton="0" quotePrefix="0" xfId="1">
      <alignment vertical="center"/>
    </xf>
    <xf numFmtId="166" fontId="3" fillId="7" borderId="2" applyAlignment="1" pivotButton="0" quotePrefix="0" xfId="1">
      <alignment vertical="center"/>
    </xf>
    <xf numFmtId="167" fontId="3" fillId="7" borderId="2" applyAlignment="1" pivotButton="0" quotePrefix="0" xfId="1">
      <alignment vertical="center"/>
    </xf>
    <xf numFmtId="0" fontId="0" fillId="0" borderId="5" pivotButton="0" quotePrefix="0" xfId="0"/>
    <xf numFmtId="166" fontId="7" fillId="9" borderId="5" applyAlignment="1" pivotButton="0" quotePrefix="0" xfId="1">
      <alignment vertical="center"/>
    </xf>
    <xf numFmtId="167" fontId="7" fillId="9" borderId="5" applyAlignment="1" pivotButton="0" quotePrefix="0" xfId="1">
      <alignment vertical="center"/>
    </xf>
    <xf numFmtId="166" fontId="9" fillId="4" borderId="0" applyAlignment="1" pivotButton="0" quotePrefix="0" xfId="1">
      <alignment horizontal="center"/>
    </xf>
    <xf numFmtId="166" fontId="9" fillId="8" borderId="0" applyAlignment="1" pivotButton="0" quotePrefix="0" xfId="1">
      <alignment horizontal="center"/>
    </xf>
    <xf numFmtId="166" fontId="9" fillId="7" borderId="0" applyAlignment="1" pivotButton="0" quotePrefix="0" xfId="1">
      <alignment horizontal="center"/>
    </xf>
    <xf numFmtId="166" fontId="3" fillId="0" borderId="1" applyAlignment="1" pivotButton="0" quotePrefix="0" xfId="1">
      <alignment vertical="center"/>
    </xf>
    <xf numFmtId="166" fontId="3" fillId="0" borderId="2" applyAlignment="1" pivotButton="0" quotePrefix="0" xfId="1">
      <alignment vertical="center"/>
    </xf>
    <xf numFmtId="166" fontId="3" fillId="0" borderId="3" applyAlignment="1" pivotButton="0" quotePrefix="0" xfId="1">
      <alignment vertical="center"/>
    </xf>
    <xf numFmtId="0" fontId="13" fillId="10" borderId="6" applyAlignment="1" pivotButton="0" quotePrefix="0" xfId="0">
      <alignment horizontal="center" vertical="center" wrapText="1"/>
    </xf>
    <xf numFmtId="0" fontId="14" fillId="11" borderId="6" applyAlignment="1" pivotButton="0" quotePrefix="0" xfId="0">
      <alignment horizontal="left" vertical="center" wrapText="1"/>
    </xf>
    <xf numFmtId="0" fontId="16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left" vertical="center" wrapText="1"/>
    </xf>
    <xf numFmtId="0" fontId="15" fillId="0" borderId="6" applyAlignment="1" pivotButton="0" quotePrefix="0" xfId="0">
      <alignment horizontal="left" vertical="center" wrapText="1"/>
    </xf>
    <xf numFmtId="4" fontId="15" fillId="0" borderId="6" applyAlignment="1" pivotButton="0" quotePrefix="0" xfId="0">
      <alignment horizontal="right" vertical="center"/>
    </xf>
    <xf numFmtId="10" fontId="15" fillId="0" borderId="6" applyAlignment="1" pivotButton="0" quotePrefix="0" xfId="0">
      <alignment horizontal="right" vertical="center"/>
    </xf>
    <xf numFmtId="0" fontId="15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3" fillId="10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 wrapText="1"/>
    </xf>
    <xf numFmtId="0" fontId="18" fillId="0" borderId="0" pivotButton="0" quotePrefix="0" xfId="0"/>
  </cellXfs>
  <cellStyles count="2">
    <cellStyle name="常规" xfId="0" builtinId="0"/>
    <cellStyle name="Normal" xfId="1"/>
  </cellStyles>
  <dxfs count="6">
    <dxf>
      <font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月度收入、支出与净现金流（元）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收入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月度汇总!$A$5:$A$16</f>
              <strCache>
                <ptCount val="12"/>
                <pt idx="0">
                  <v>2026-01</v>
                </pt>
                <pt idx="1">
                  <v>2026-02</v>
                </pt>
                <pt idx="2">
                  <v>2026-03</v>
                </pt>
                <pt idx="3">
                  <v>2026-04</v>
                </pt>
                <pt idx="4">
                  <v>2026-05</v>
                </pt>
                <pt idx="5">
                  <v>2026-06</v>
                </pt>
                <pt idx="6">
                  <v>2026-07</v>
                </pt>
                <pt idx="7">
                  <v>2026-08</v>
                </pt>
                <pt idx="8">
                  <v>2026-09</v>
                </pt>
                <pt idx="9">
                  <v>2026-10</v>
                </pt>
                <pt idx="10">
                  <v>2026-11</v>
                </pt>
                <pt idx="11">
                  <v>2026-12</v>
                </pt>
              </strCache>
            </strRef>
          </cat>
          <val>
            <numRef>
              <f>月度汇总!$B$5:$B$16</f>
              <numCache>
                <formatCode>#,##0;[Red]\(#,##0\);\-</formatCode>
                <ptCount val="12"/>
                <pt idx="0">
                  <v>286000</v>
                </pt>
                <pt idx="1">
                  <v>301000</v>
                </pt>
                <pt idx="2">
                  <v>420000</v>
                </pt>
                <pt idx="3">
                  <v>318000</v>
                </pt>
                <pt idx="4">
                  <v>0</v>
                </pt>
                <pt idx="5">
                  <v>560000</v>
                </pt>
                <pt idx="6">
                  <v>555000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ser>
          <idx val="1"/>
          <order val="1"/>
          <tx>
            <v>支出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月度汇总!$A$5:$A$16</f>
              <strCache>
                <ptCount val="12"/>
                <pt idx="0">
                  <v>2026-01</v>
                </pt>
                <pt idx="1">
                  <v>2026-02</v>
                </pt>
                <pt idx="2">
                  <v>2026-03</v>
                </pt>
                <pt idx="3">
                  <v>2026-04</v>
                </pt>
                <pt idx="4">
                  <v>2026-05</v>
                </pt>
                <pt idx="5">
                  <v>2026-06</v>
                </pt>
                <pt idx="6">
                  <v>2026-07</v>
                </pt>
                <pt idx="7">
                  <v>2026-08</v>
                </pt>
                <pt idx="8">
                  <v>2026-09</v>
                </pt>
                <pt idx="9">
                  <v>2026-10</v>
                </pt>
                <pt idx="10">
                  <v>2026-11</v>
                </pt>
                <pt idx="11">
                  <v>2026-12</v>
                </pt>
              </strCache>
            </strRef>
          </cat>
          <val>
            <numRef>
              <f>月度汇总!$C$5:$C$16</f>
              <numCache>
                <formatCode>#,##0;[Red]\(#,##0\);\-</formatCode>
                <ptCount val="12"/>
                <pt idx="0">
                  <v>130000</v>
                </pt>
                <pt idx="1">
                  <v>26000</v>
                </pt>
                <pt idx="2">
                  <v>185000</v>
                </pt>
                <pt idx="3">
                  <v>12800</v>
                </pt>
                <pt idx="4">
                  <v>54600</v>
                </pt>
                <pt idx="5">
                  <v>32000</v>
                </pt>
                <pt idx="6">
                  <v>168000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ser>
          <idx val="2"/>
          <order val="2"/>
          <tx>
            <v>净现金流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月度汇总!$A$5:$A$16</f>
              <strCache>
                <ptCount val="12"/>
                <pt idx="0">
                  <v>2026-01</v>
                </pt>
                <pt idx="1">
                  <v>2026-02</v>
                </pt>
                <pt idx="2">
                  <v>2026-03</v>
                </pt>
                <pt idx="3">
                  <v>2026-04</v>
                </pt>
                <pt idx="4">
                  <v>2026-05</v>
                </pt>
                <pt idx="5">
                  <v>2026-06</v>
                </pt>
                <pt idx="6">
                  <v>2026-07</v>
                </pt>
                <pt idx="7">
                  <v>2026-08</v>
                </pt>
                <pt idx="8">
                  <v>2026-09</v>
                </pt>
                <pt idx="9">
                  <v>2026-10</v>
                </pt>
                <pt idx="10">
                  <v>2026-11</v>
                </pt>
                <pt idx="11">
                  <v>2026-12</v>
                </pt>
              </strCache>
            </strRef>
          </cat>
          <val>
            <numRef>
              <f>月度汇总!$D$5:$D$16</f>
              <numCache>
                <formatCode>#,##0;[Red]\(#,##0\);\-</formatCode>
                <ptCount val="12"/>
                <pt idx="0">
                  <v>156000</v>
                </pt>
                <pt idx="1">
                  <v>275000</v>
                </pt>
                <pt idx="2">
                  <v>235000</v>
                </pt>
                <pt idx="3">
                  <v>305200</v>
                </pt>
                <pt idx="4">
                  <v>-54600</v>
                </pt>
                <pt idx="5">
                  <v>528000</v>
                </pt>
                <pt idx="6">
                  <v>387000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;[Red]\(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zh-CN" altLang="en-US"/>
              <a:t>本月费用类别金额（元）</a:t>
            </a:r>
          </a:p>
        </rich>
      </tx>
      <overlay val="1"/>
    </title>
    <plotArea>
      <layout/>
      <barChart>
        <barDir val="col"/>
        <grouping val="clustered"/>
        <varyColors val="0"/>
        <ser>
          <idx val="0"/>
          <order val="0"/>
          <tx>
            <v>金额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管理看板!$A$10:$A$17</f>
              <strCache>
                <ptCount val="8"/>
                <pt idx="0">
                  <v>电费</v>
                </pt>
                <pt idx="1">
                  <v>运维费</v>
                </pt>
                <pt idx="2">
                  <v>软件服务费</v>
                </pt>
                <pt idx="3">
                  <v>差旅费</v>
                </pt>
                <pt idx="4">
                  <v>设备采购</v>
                </pt>
                <pt idx="5">
                  <v>市场推广费</v>
                </pt>
                <pt idx="6">
                  <v>办公费</v>
                </pt>
                <pt idx="7">
                  <v>培训费</v>
                </pt>
              </strCache>
            </strRef>
          </cat>
          <val>
            <numRef>
              <f>管理看板!$B$10:$B$17</f>
              <numCache>
                <formatCode>#,##0;[Red]\(#,##0\);\-</formatCode>
                <ptCount val="8"/>
                <pt idx="0">
                  <v>108000</v>
                </pt>
                <pt idx="1">
                  <v>0</v>
                </pt>
                <pt idx="2">
                  <v>42000</v>
                </pt>
                <pt idx="3">
                  <v>0</v>
                </pt>
                <pt idx="4">
                  <v>0</v>
                </pt>
                <pt idx="5">
                  <v>18000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;[Red]\(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zh-CN" altLang="en-US"/>
              <a:t>月度净现金流趋势（元）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净现金流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管理看板!$G$23:$G$34</f>
              <strCache>
                <ptCount val="12"/>
                <pt idx="0">
                  <v>2026-01</v>
                </pt>
                <pt idx="1">
                  <v>2026-02</v>
                </pt>
                <pt idx="2">
                  <v>2026-03</v>
                </pt>
                <pt idx="3">
                  <v>2026-04</v>
                </pt>
                <pt idx="4">
                  <v>2026-05</v>
                </pt>
                <pt idx="5">
                  <v>2026-06</v>
                </pt>
                <pt idx="6">
                  <v>2026-07</v>
                </pt>
                <pt idx="7">
                  <v>2026-08</v>
                </pt>
                <pt idx="8">
                  <v>2026-09</v>
                </pt>
                <pt idx="9">
                  <v>2026-10</v>
                </pt>
                <pt idx="10">
                  <v>2026-11</v>
                </pt>
                <pt idx="11">
                  <v>2026-12</v>
                </pt>
              </strCache>
            </strRef>
          </cat>
          <val>
            <numRef>
              <f>管理看板!$H$23:$H$34</f>
              <numCache>
                <formatCode>General</formatCode>
                <ptCount val="12"/>
                <pt idx="0">
                  <v>156000</v>
                </pt>
                <pt idx="1">
                  <v>275000</v>
                </pt>
                <pt idx="2">
                  <v>235000</v>
                </pt>
                <pt idx="3">
                  <v>305200</v>
                </pt>
                <pt idx="4">
                  <v>-54600</v>
                </pt>
                <pt idx="5">
                  <v>528000</v>
                </pt>
                <pt idx="6">
                  <v>387000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18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6</col>
      <colOff>0</colOff>
      <row>7</row>
      <rowOff>0</rowOff>
    </from>
    <to>
      <col>12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25</row>
      <rowOff>0</rowOff>
    </from>
    <to>
      <col>6</col>
      <colOff>0</colOff>
      <row>40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3867150" cy="373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4600575" cy="3000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6315075" cy="2800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4619625" cy="3295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9010650" cy="4048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showGridLines="0" workbookViewId="0">
      <selection activeCell="A1" sqref="A1:Q2"/>
    </sheetView>
  </sheetViews>
  <sheetFormatPr baseColWidth="8" defaultRowHeight="14"/>
  <cols>
    <col width="12" customWidth="1" min="1" max="1"/>
    <col width="11" customWidth="1" min="2" max="3"/>
    <col width="14" customWidth="1" min="4" max="4"/>
    <col width="20" customWidth="1" min="5" max="5"/>
    <col width="18" customWidth="1" min="6" max="6"/>
    <col width="24" customWidth="1" min="7" max="7"/>
    <col width="22" customWidth="1" min="8" max="8"/>
    <col width="12" customWidth="1" min="9" max="11"/>
    <col width="15" customWidth="1" min="12" max="12"/>
    <col width="9" customWidth="1" min="13" max="13"/>
    <col width="14" customWidth="1" min="14" max="15"/>
    <col width="12" customWidth="1" min="16" max="17"/>
  </cols>
  <sheetData>
    <row r="1" ht="34" customHeight="1">
      <c r="A1" s="42" t="inlineStr">
        <is>
          <t>财务流水明细台账</t>
        </is>
      </c>
    </row>
    <row r="2" ht="34" customHeight="1"/>
    <row r="3" ht="18.5" customHeight="1">
      <c r="A3" s="44" t="inlineStr">
        <is>
          <t>填写提示：金额统一录入正数，业务类型决定收入或支出；黄色列为人工录入，绿色列为自动计算。</t>
        </is>
      </c>
    </row>
    <row r="4" ht="30" customHeight="1">
      <c r="A4" s="5" t="inlineStr">
        <is>
          <t>日期</t>
        </is>
      </c>
      <c r="B4" s="5" t="inlineStr">
        <is>
          <t>月份</t>
        </is>
      </c>
      <c r="C4" s="5" t="inlineStr">
        <is>
          <t>业务类型</t>
        </is>
      </c>
      <c r="D4" s="5" t="inlineStr">
        <is>
          <t>部门</t>
        </is>
      </c>
      <c r="E4" s="5" t="inlineStr">
        <is>
          <t>项目/站点</t>
        </is>
      </c>
      <c r="F4" s="5" t="inlineStr">
        <is>
          <t>费用类别</t>
        </is>
      </c>
      <c r="G4" s="5" t="inlineStr">
        <is>
          <t>摘要</t>
        </is>
      </c>
      <c r="H4" s="5" t="inlineStr">
        <is>
          <t>对方单位</t>
        </is>
      </c>
      <c r="I4" s="5" t="inlineStr">
        <is>
          <t>发票状态</t>
        </is>
      </c>
      <c r="J4" s="5" t="inlineStr">
        <is>
          <t>支付状态</t>
        </is>
      </c>
      <c r="K4" s="5" t="inlineStr">
        <is>
          <t>付款方式</t>
        </is>
      </c>
      <c r="L4" s="5" t="inlineStr">
        <is>
          <t>金额(含税)</t>
        </is>
      </c>
      <c r="M4" s="5" t="inlineStr">
        <is>
          <t>税率</t>
        </is>
      </c>
      <c r="N4" s="5" t="inlineStr">
        <is>
          <t>税额</t>
        </is>
      </c>
      <c r="O4" s="5" t="inlineStr">
        <is>
          <t>未税金额</t>
        </is>
      </c>
      <c r="P4" s="5" t="inlineStr">
        <is>
          <t>经办人</t>
        </is>
      </c>
      <c r="Q4" s="5" t="inlineStr">
        <is>
          <t>异常检查</t>
        </is>
      </c>
    </row>
    <row r="5" ht="16.5" customHeight="1">
      <c r="A5" s="57" t="n">
        <v>46028</v>
      </c>
      <c r="B5" s="7">
        <f>TEXT(A5,"yyyy-mm")</f>
        <v/>
      </c>
      <c r="C5" s="8" t="inlineStr">
        <is>
          <t>收入</t>
        </is>
      </c>
      <c r="D5" s="8" t="inlineStr">
        <is>
          <t>运营部</t>
        </is>
      </c>
      <c r="E5" s="8" t="inlineStr">
        <is>
          <t>金坛体育馆站</t>
        </is>
      </c>
      <c r="F5" s="8" t="inlineStr">
        <is>
          <t>充电服务收入</t>
        </is>
      </c>
      <c r="G5" s="8" t="inlineStr">
        <is>
          <t>1月充电服务收入</t>
        </is>
      </c>
      <c r="H5" s="8" t="inlineStr">
        <is>
          <t>常州某运营公司</t>
        </is>
      </c>
      <c r="I5" s="8" t="inlineStr">
        <is>
          <t>已开票</t>
        </is>
      </c>
      <c r="J5" s="8" t="inlineStr">
        <is>
          <t>已收款</t>
        </is>
      </c>
      <c r="K5" s="8" t="inlineStr">
        <is>
          <t>银行转账</t>
        </is>
      </c>
      <c r="L5" s="58" t="n">
        <v>286000</v>
      </c>
      <c r="M5" s="10" t="n">
        <v>0.06</v>
      </c>
      <c r="N5" s="59">
        <f>IFERROR(L5*M5/(1+M5),0)</f>
        <v/>
      </c>
      <c r="O5" s="59">
        <f>L5-N5</f>
        <v/>
      </c>
      <c r="P5" s="8" t="inlineStr">
        <is>
          <t>张敏</t>
        </is>
      </c>
      <c r="Q5" s="7">
        <f>IF(A5="","",IF(OR(L5&lt;=0,C5="",D5="",F5=""),"需检查",IF(AND(C5="支出",I5="未收票"),"缺发票","正常")))</f>
        <v/>
      </c>
    </row>
    <row r="6" ht="16.5" customHeight="1">
      <c r="A6" s="60" t="n">
        <v>46032</v>
      </c>
      <c r="B6" s="13">
        <f>TEXT(A6,"yyyy-mm")</f>
        <v/>
      </c>
      <c r="C6" s="14" t="inlineStr">
        <is>
          <t>支出</t>
        </is>
      </c>
      <c r="D6" s="14" t="inlineStr">
        <is>
          <t>研发部</t>
        </is>
      </c>
      <c r="E6" s="14" t="inlineStr">
        <is>
          <t>AI平台一期</t>
        </is>
      </c>
      <c r="F6" s="14" t="inlineStr">
        <is>
          <t>软件服务费</t>
        </is>
      </c>
      <c r="G6" s="14" t="inlineStr">
        <is>
          <t>模型API及云资源</t>
        </is>
      </c>
      <c r="H6" s="14" t="inlineStr">
        <is>
          <t>某科技公司</t>
        </is>
      </c>
      <c r="I6" s="14" t="inlineStr">
        <is>
          <t>已收票</t>
        </is>
      </c>
      <c r="J6" s="14" t="inlineStr">
        <is>
          <t>已付款</t>
        </is>
      </c>
      <c r="K6" s="14" t="inlineStr">
        <is>
          <t>银行转账</t>
        </is>
      </c>
      <c r="L6" s="61" t="n">
        <v>38000</v>
      </c>
      <c r="M6" s="16" t="n">
        <v>0.06</v>
      </c>
      <c r="N6" s="62">
        <f>IFERROR(L6*M6/(1+M6),0)</f>
        <v/>
      </c>
      <c r="O6" s="62">
        <f>L6-N6</f>
        <v/>
      </c>
      <c r="P6" s="14" t="inlineStr">
        <is>
          <t>李强</t>
        </is>
      </c>
      <c r="Q6" s="13">
        <f>IF(A6="","",IF(OR(L6&lt;=0,C6="",D6="",F6=""),"需检查",IF(AND(C6="支出",I6="未收票"),"缺发票","正常")))</f>
        <v/>
      </c>
    </row>
    <row r="7" ht="16.5" customHeight="1">
      <c r="A7" s="60" t="n">
        <v>46040</v>
      </c>
      <c r="B7" s="13">
        <f>TEXT(A7,"yyyy-mm")</f>
        <v/>
      </c>
      <c r="C7" s="14" t="inlineStr">
        <is>
          <t>支出</t>
        </is>
      </c>
      <c r="D7" s="14" t="inlineStr">
        <is>
          <t>运营部</t>
        </is>
      </c>
      <c r="E7" s="14" t="inlineStr">
        <is>
          <t>金坛体育馆站</t>
        </is>
      </c>
      <c r="F7" s="14" t="inlineStr">
        <is>
          <t>电费</t>
        </is>
      </c>
      <c r="G7" s="14" t="inlineStr">
        <is>
          <t>1月场站购电费</t>
        </is>
      </c>
      <c r="H7" s="14" t="inlineStr">
        <is>
          <t>国网常州供电公司</t>
        </is>
      </c>
      <c r="I7" s="14" t="inlineStr">
        <is>
          <t>已收票</t>
        </is>
      </c>
      <c r="J7" s="14" t="inlineStr">
        <is>
          <t>已付款</t>
        </is>
      </c>
      <c r="K7" s="14" t="inlineStr">
        <is>
          <t>银行转账</t>
        </is>
      </c>
      <c r="L7" s="61" t="n">
        <v>92000</v>
      </c>
      <c r="M7" s="16" t="n">
        <v>0.13</v>
      </c>
      <c r="N7" s="62">
        <f>IFERROR(L7*M7/(1+M7),0)</f>
        <v/>
      </c>
      <c r="O7" s="62">
        <f>L7-N7</f>
        <v/>
      </c>
      <c r="P7" s="14" t="inlineStr">
        <is>
          <t>王芳</t>
        </is>
      </c>
      <c r="Q7" s="13">
        <f>IF(A7="","",IF(OR(L7&lt;=0,C7="",D7="",F7=""),"需检查",IF(AND(C7="支出",I7="未收票"),"缺发票","正常")))</f>
        <v/>
      </c>
    </row>
    <row r="8" ht="16.5" customHeight="1">
      <c r="A8" s="60" t="n">
        <v>46061</v>
      </c>
      <c r="B8" s="13">
        <f>TEXT(A8,"yyyy-mm")</f>
        <v/>
      </c>
      <c r="C8" s="14" t="inlineStr">
        <is>
          <t>收入</t>
        </is>
      </c>
      <c r="D8" s="14" t="inlineStr">
        <is>
          <t>运营部</t>
        </is>
      </c>
      <c r="E8" s="14" t="inlineStr">
        <is>
          <t>弘阳广场站</t>
        </is>
      </c>
      <c r="F8" s="14" t="inlineStr">
        <is>
          <t>充电服务收入</t>
        </is>
      </c>
      <c r="G8" s="14" t="inlineStr">
        <is>
          <t>2月充电服务收入</t>
        </is>
      </c>
      <c r="H8" s="14" t="inlineStr">
        <is>
          <t>常州某运营公司</t>
        </is>
      </c>
      <c r="I8" s="14" t="inlineStr">
        <is>
          <t>已开票</t>
        </is>
      </c>
      <c r="J8" s="14" t="inlineStr">
        <is>
          <t>已收款</t>
        </is>
      </c>
      <c r="K8" s="14" t="inlineStr">
        <is>
          <t>银行转账</t>
        </is>
      </c>
      <c r="L8" s="61" t="n">
        <v>301000</v>
      </c>
      <c r="M8" s="16" t="n">
        <v>0.06</v>
      </c>
      <c r="N8" s="62">
        <f>IFERROR(L8*M8/(1+M8),0)</f>
        <v/>
      </c>
      <c r="O8" s="62">
        <f>L8-N8</f>
        <v/>
      </c>
      <c r="P8" s="14" t="inlineStr">
        <is>
          <t>张敏</t>
        </is>
      </c>
      <c r="Q8" s="13">
        <f>IF(A8="","",IF(OR(L8&lt;=0,C8="",D8="",F8=""),"需检查",IF(AND(C8="支出",I8="未收票"),"缺发票","正常")))</f>
        <v/>
      </c>
    </row>
    <row r="9" ht="16.5" customHeight="1">
      <c r="A9" s="60" t="n">
        <v>46068</v>
      </c>
      <c r="B9" s="13">
        <f>TEXT(A9,"yyyy-mm")</f>
        <v/>
      </c>
      <c r="C9" s="14" t="inlineStr">
        <is>
          <t>支出</t>
        </is>
      </c>
      <c r="D9" s="14" t="inlineStr">
        <is>
          <t>市场部</t>
        </is>
      </c>
      <c r="E9" s="14" t="inlineStr">
        <is>
          <t>品牌推广</t>
        </is>
      </c>
      <c r="F9" s="14" t="inlineStr">
        <is>
          <t>市场推广费</t>
        </is>
      </c>
      <c r="G9" s="14" t="inlineStr">
        <is>
          <t>行业会议展位费</t>
        </is>
      </c>
      <c r="H9" s="14" t="inlineStr">
        <is>
          <t>某会展公司</t>
        </is>
      </c>
      <c r="I9" s="14" t="inlineStr">
        <is>
          <t>已收票</t>
        </is>
      </c>
      <c r="J9" s="14" t="inlineStr">
        <is>
          <t>已付款</t>
        </is>
      </c>
      <c r="K9" s="14" t="inlineStr">
        <is>
          <t>公司卡</t>
        </is>
      </c>
      <c r="L9" s="61" t="n">
        <v>26000</v>
      </c>
      <c r="M9" s="16" t="n">
        <v>0.06</v>
      </c>
      <c r="N9" s="62">
        <f>IFERROR(L9*M9/(1+M9),0)</f>
        <v/>
      </c>
      <c r="O9" s="62">
        <f>L9-N9</f>
        <v/>
      </c>
      <c r="P9" s="14" t="inlineStr">
        <is>
          <t>赵晨</t>
        </is>
      </c>
      <c r="Q9" s="13">
        <f>IF(A9="","",IF(OR(L9&lt;=0,C9="",D9="",F9=""),"需检查",IF(AND(C9="支出",I9="未收票"),"缺发票","正常")))</f>
        <v/>
      </c>
    </row>
    <row r="10" ht="16.5" customHeight="1">
      <c r="A10" s="60" t="n">
        <v>46086</v>
      </c>
      <c r="B10" s="13">
        <f>TEXT(A10,"yyyy-mm")</f>
        <v/>
      </c>
      <c r="C10" s="14" t="inlineStr">
        <is>
          <t>收入</t>
        </is>
      </c>
      <c r="D10" s="14" t="inlineStr">
        <is>
          <t>项目部</t>
        </is>
      </c>
      <c r="E10" s="14" t="inlineStr">
        <is>
          <t>储能改造项目</t>
        </is>
      </c>
      <c r="F10" s="14" t="inlineStr">
        <is>
          <t>项目服务收入</t>
        </is>
      </c>
      <c r="G10" s="14" t="inlineStr">
        <is>
          <t>储能EMS实施款</t>
        </is>
      </c>
      <c r="H10" s="14" t="inlineStr">
        <is>
          <t>某能源公司</t>
        </is>
      </c>
      <c r="I10" s="14" t="inlineStr">
        <is>
          <t>已开票</t>
        </is>
      </c>
      <c r="J10" s="14" t="inlineStr">
        <is>
          <t>部分收款</t>
        </is>
      </c>
      <c r="K10" s="14" t="inlineStr">
        <is>
          <t>银行转账</t>
        </is>
      </c>
      <c r="L10" s="61" t="n">
        <v>420000</v>
      </c>
      <c r="M10" s="16" t="n">
        <v>0.06</v>
      </c>
      <c r="N10" s="62">
        <f>IFERROR(L10*M10/(1+M10),0)</f>
        <v/>
      </c>
      <c r="O10" s="62">
        <f>L10-N10</f>
        <v/>
      </c>
      <c r="P10" s="14" t="inlineStr">
        <is>
          <t>陈杰</t>
        </is>
      </c>
      <c r="Q10" s="13">
        <f>IF(A10="","",IF(OR(L10&lt;=0,C10="",D10="",F10=""),"需检查",IF(AND(C10="支出",I10="未收票"),"缺发票","正常")))</f>
        <v/>
      </c>
    </row>
    <row r="11" ht="16.5" customHeight="1">
      <c r="A11" s="60" t="n">
        <v>46092</v>
      </c>
      <c r="B11" s="13">
        <f>TEXT(A11,"yyyy-mm")</f>
        <v/>
      </c>
      <c r="C11" s="14" t="inlineStr">
        <is>
          <t>支出</t>
        </is>
      </c>
      <c r="D11" s="14" t="inlineStr">
        <is>
          <t>项目部</t>
        </is>
      </c>
      <c r="E11" s="14" t="inlineStr">
        <is>
          <t>储能改造项目</t>
        </is>
      </c>
      <c r="F11" s="14" t="inlineStr">
        <is>
          <t>设备采购</t>
        </is>
      </c>
      <c r="G11" s="14" t="inlineStr">
        <is>
          <t>储能计量设备采购</t>
        </is>
      </c>
      <c r="H11" s="14" t="inlineStr">
        <is>
          <t>某设备公司</t>
        </is>
      </c>
      <c r="I11" s="14" t="inlineStr">
        <is>
          <t>已收票</t>
        </is>
      </c>
      <c r="J11" s="14" t="inlineStr">
        <is>
          <t>已付款</t>
        </is>
      </c>
      <c r="K11" s="14" t="inlineStr">
        <is>
          <t>银行转账</t>
        </is>
      </c>
      <c r="L11" s="61" t="n">
        <v>185000</v>
      </c>
      <c r="M11" s="16" t="n">
        <v>0.13</v>
      </c>
      <c r="N11" s="62">
        <f>IFERROR(L11*M11/(1+M11),0)</f>
        <v/>
      </c>
      <c r="O11" s="62">
        <f>L11-N11</f>
        <v/>
      </c>
      <c r="P11" s="14" t="inlineStr">
        <is>
          <t>陈杰</t>
        </is>
      </c>
      <c r="Q11" s="13">
        <f>IF(A11="","",IF(OR(L11&lt;=0,C11="",D11="",F11=""),"需检查",IF(AND(C11="支出",I11="未收票"),"缺发票","正常")))</f>
        <v/>
      </c>
    </row>
    <row r="12" ht="16.5" customHeight="1">
      <c r="A12" s="60" t="n">
        <v>46121</v>
      </c>
      <c r="B12" s="13">
        <f>TEXT(A12,"yyyy-mm")</f>
        <v/>
      </c>
      <c r="C12" s="14" t="inlineStr">
        <is>
          <t>支出</t>
        </is>
      </c>
      <c r="D12" s="14" t="inlineStr">
        <is>
          <t>行政部</t>
        </is>
      </c>
      <c r="E12" s="14" t="inlineStr">
        <is>
          <t>总部</t>
        </is>
      </c>
      <c r="F12" s="14" t="inlineStr">
        <is>
          <t>办公费</t>
        </is>
      </c>
      <c r="G12" s="14" t="inlineStr">
        <is>
          <t>办公耗材采购</t>
        </is>
      </c>
      <c r="H12" s="14" t="inlineStr">
        <is>
          <t>某商贸公司</t>
        </is>
      </c>
      <c r="I12" s="14" t="inlineStr">
        <is>
          <t>已收票</t>
        </is>
      </c>
      <c r="J12" s="14" t="inlineStr">
        <is>
          <t>已付款</t>
        </is>
      </c>
      <c r="K12" s="14" t="inlineStr">
        <is>
          <t>公司卡</t>
        </is>
      </c>
      <c r="L12" s="61" t="n">
        <v>12800</v>
      </c>
      <c r="M12" s="16" t="n">
        <v>0.13</v>
      </c>
      <c r="N12" s="62">
        <f>IFERROR(L12*M12/(1+M12),0)</f>
        <v/>
      </c>
      <c r="O12" s="62">
        <f>L12-N12</f>
        <v/>
      </c>
      <c r="P12" s="14" t="inlineStr">
        <is>
          <t>刘悦</t>
        </is>
      </c>
      <c r="Q12" s="13">
        <f>IF(A12="","",IF(OR(L12&lt;=0,C12="",D12="",F12=""),"需检查",IF(AND(C12="支出",I12="未收票"),"缺发票","正常")))</f>
        <v/>
      </c>
    </row>
    <row r="13" ht="16.5" customHeight="1">
      <c r="A13" s="60" t="n">
        <v>46137</v>
      </c>
      <c r="B13" s="13">
        <f>TEXT(A13,"yyyy-mm")</f>
        <v/>
      </c>
      <c r="C13" s="14" t="inlineStr">
        <is>
          <t>收入</t>
        </is>
      </c>
      <c r="D13" s="14" t="inlineStr">
        <is>
          <t>运营部</t>
        </is>
      </c>
      <c r="E13" s="14" t="inlineStr">
        <is>
          <t>凤凰谷站</t>
        </is>
      </c>
      <c r="F13" s="14" t="inlineStr">
        <is>
          <t>充电服务收入</t>
        </is>
      </c>
      <c r="G13" s="14" t="inlineStr">
        <is>
          <t>4月充电服务收入</t>
        </is>
      </c>
      <c r="H13" s="14" t="inlineStr">
        <is>
          <t>常州某运营公司</t>
        </is>
      </c>
      <c r="I13" s="14" t="inlineStr">
        <is>
          <t>已开票</t>
        </is>
      </c>
      <c r="J13" s="14" t="inlineStr">
        <is>
          <t>已收款</t>
        </is>
      </c>
      <c r="K13" s="14" t="inlineStr">
        <is>
          <t>银行转账</t>
        </is>
      </c>
      <c r="L13" s="61" t="n">
        <v>318000</v>
      </c>
      <c r="M13" s="16" t="n">
        <v>0.06</v>
      </c>
      <c r="N13" s="62">
        <f>IFERROR(L13*M13/(1+M13),0)</f>
        <v/>
      </c>
      <c r="O13" s="62">
        <f>L13-N13</f>
        <v/>
      </c>
      <c r="P13" s="14" t="inlineStr">
        <is>
          <t>张敏</t>
        </is>
      </c>
      <c r="Q13" s="13">
        <f>IF(A13="","",IF(OR(L13&lt;=0,C13="",D13="",F13=""),"需检查",IF(AND(C13="支出",I13="未收票"),"缺发票","正常")))</f>
        <v/>
      </c>
    </row>
    <row r="14" ht="16.5" customHeight="1">
      <c r="A14" s="60" t="n">
        <v>46148</v>
      </c>
      <c r="B14" s="13">
        <f>TEXT(A14,"yyyy-mm")</f>
        <v/>
      </c>
      <c r="C14" s="14" t="inlineStr">
        <is>
          <t>支出</t>
        </is>
      </c>
      <c r="D14" s="14" t="inlineStr">
        <is>
          <t>研发部</t>
        </is>
      </c>
      <c r="E14" s="14" t="inlineStr">
        <is>
          <t>AI平台一期</t>
        </is>
      </c>
      <c r="F14" s="14" t="inlineStr">
        <is>
          <t>差旅费</t>
        </is>
      </c>
      <c r="G14" s="14" t="inlineStr">
        <is>
          <t>项目调研差旅</t>
        </is>
      </c>
      <c r="H14" s="14" t="inlineStr">
        <is>
          <t>个人报销</t>
        </is>
      </c>
      <c r="I14" s="14" t="inlineStr">
        <is>
          <t>无需发票</t>
        </is>
      </c>
      <c r="J14" s="14" t="inlineStr">
        <is>
          <t>已付款</t>
        </is>
      </c>
      <c r="K14" s="14" t="inlineStr">
        <is>
          <t>个人垫付</t>
        </is>
      </c>
      <c r="L14" s="61" t="n">
        <v>8600</v>
      </c>
      <c r="M14" s="16" t="n">
        <v>0</v>
      </c>
      <c r="N14" s="62">
        <f>IFERROR(L14*M14/(1+M14),0)</f>
        <v/>
      </c>
      <c r="O14" s="62">
        <f>L14-N14</f>
        <v/>
      </c>
      <c r="P14" s="14" t="inlineStr">
        <is>
          <t>李强</t>
        </is>
      </c>
      <c r="Q14" s="13">
        <f>IF(A14="","",IF(OR(L14&lt;=0,C14="",D14="",F14=""),"需检查",IF(AND(C14="支出",I14="未收票"),"缺发票","正常")))</f>
        <v/>
      </c>
    </row>
    <row r="15" ht="16.5" customHeight="1">
      <c r="A15" s="60" t="n">
        <v>46162</v>
      </c>
      <c r="B15" s="13">
        <f>TEXT(A15,"yyyy-mm")</f>
        <v/>
      </c>
      <c r="C15" s="14" t="inlineStr">
        <is>
          <t>支出</t>
        </is>
      </c>
      <c r="D15" s="14" t="inlineStr">
        <is>
          <t>运营部</t>
        </is>
      </c>
      <c r="E15" s="14" t="inlineStr">
        <is>
          <t>凤凰谷站</t>
        </is>
      </c>
      <c r="F15" s="14" t="inlineStr">
        <is>
          <t>运维费</t>
        </is>
      </c>
      <c r="G15" s="14" t="inlineStr">
        <is>
          <t>充电桩年度巡检</t>
        </is>
      </c>
      <c r="H15" s="14" t="inlineStr">
        <is>
          <t>某运维公司</t>
        </is>
      </c>
      <c r="I15" s="14" t="inlineStr">
        <is>
          <t>未收票</t>
        </is>
      </c>
      <c r="J15" s="14" t="inlineStr">
        <is>
          <t>未付款</t>
        </is>
      </c>
      <c r="K15" s="14" t="inlineStr">
        <is>
          <t>银行转账</t>
        </is>
      </c>
      <c r="L15" s="61" t="n">
        <v>46000</v>
      </c>
      <c r="M15" s="16" t="n">
        <v>0.06</v>
      </c>
      <c r="N15" s="62">
        <f>IFERROR(L15*M15/(1+M15),0)</f>
        <v/>
      </c>
      <c r="O15" s="62">
        <f>L15-N15</f>
        <v/>
      </c>
      <c r="P15" s="14" t="inlineStr">
        <is>
          <t>王芳</t>
        </is>
      </c>
      <c r="Q15" s="13">
        <f>IF(A15="","",IF(OR(L15&lt;=0,C15="",D15="",F15=""),"需检查",IF(AND(C15="支出",I15="未收票"),"缺发票","正常")))</f>
        <v/>
      </c>
    </row>
    <row r="16" ht="16.5" customHeight="1">
      <c r="A16" s="60" t="n">
        <v>46176</v>
      </c>
      <c r="B16" s="13">
        <f>TEXT(A16,"yyyy-mm")</f>
        <v/>
      </c>
      <c r="C16" s="14" t="inlineStr">
        <is>
          <t>收入</t>
        </is>
      </c>
      <c r="D16" s="14" t="inlineStr">
        <is>
          <t>项目部</t>
        </is>
      </c>
      <c r="E16" s="14" t="inlineStr">
        <is>
          <t>数据平台项目</t>
        </is>
      </c>
      <c r="F16" s="14" t="inlineStr">
        <is>
          <t>项目服务收入</t>
        </is>
      </c>
      <c r="G16" s="14" t="inlineStr">
        <is>
          <t>数据平台二期里程碑款</t>
        </is>
      </c>
      <c r="H16" s="14" t="inlineStr">
        <is>
          <t>某电力公司</t>
        </is>
      </c>
      <c r="I16" s="14" t="inlineStr">
        <is>
          <t>已开票</t>
        </is>
      </c>
      <c r="J16" s="14" t="inlineStr">
        <is>
          <t>已收款</t>
        </is>
      </c>
      <c r="K16" s="14" t="inlineStr">
        <is>
          <t>银行转账</t>
        </is>
      </c>
      <c r="L16" s="61" t="n">
        <v>560000</v>
      </c>
      <c r="M16" s="16" t="n">
        <v>0.06</v>
      </c>
      <c r="N16" s="62">
        <f>IFERROR(L16*M16/(1+M16),0)</f>
        <v/>
      </c>
      <c r="O16" s="62">
        <f>L16-N16</f>
        <v/>
      </c>
      <c r="P16" s="14" t="inlineStr">
        <is>
          <t>陈杰</t>
        </is>
      </c>
      <c r="Q16" s="13">
        <f>IF(A16="","",IF(OR(L16&lt;=0,C16="",D16="",F16=""),"需检查",IF(AND(C16="支出",I16="未收票"),"缺发票","正常")))</f>
        <v/>
      </c>
    </row>
    <row r="17" ht="16.5" customHeight="1">
      <c r="A17" s="60" t="n">
        <v>46185</v>
      </c>
      <c r="B17" s="13">
        <f>TEXT(A17,"yyyy-mm")</f>
        <v/>
      </c>
      <c r="C17" s="14" t="inlineStr">
        <is>
          <t>支出</t>
        </is>
      </c>
      <c r="D17" s="14" t="inlineStr">
        <is>
          <t>人力资源部</t>
        </is>
      </c>
      <c r="E17" s="14" t="inlineStr">
        <is>
          <t>总部</t>
        </is>
      </c>
      <c r="F17" s="14" t="inlineStr">
        <is>
          <t>培训费</t>
        </is>
      </c>
      <c r="G17" s="14" t="inlineStr">
        <is>
          <t>AI工具培训</t>
        </is>
      </c>
      <c r="H17" s="14" t="inlineStr">
        <is>
          <t>某培训机构</t>
        </is>
      </c>
      <c r="I17" s="14" t="inlineStr">
        <is>
          <t>已收票</t>
        </is>
      </c>
      <c r="J17" s="14" t="inlineStr">
        <is>
          <t>已付款</t>
        </is>
      </c>
      <c r="K17" s="14" t="inlineStr">
        <is>
          <t>银行转账</t>
        </is>
      </c>
      <c r="L17" s="61" t="n">
        <v>32000</v>
      </c>
      <c r="M17" s="16" t="n">
        <v>0.06</v>
      </c>
      <c r="N17" s="62">
        <f>IFERROR(L17*M17/(1+M17),0)</f>
        <v/>
      </c>
      <c r="O17" s="62">
        <f>L17-N17</f>
        <v/>
      </c>
      <c r="P17" s="14" t="inlineStr">
        <is>
          <t>孙静</t>
        </is>
      </c>
      <c r="Q17" s="13">
        <f>IF(A17="","",IF(OR(L17&lt;=0,C17="",D17="",F17=""),"需检查",IF(AND(C17="支出",I17="未收票"),"缺发票","正常")))</f>
        <v/>
      </c>
    </row>
    <row r="18" ht="16.5" customHeight="1">
      <c r="A18" s="60" t="n">
        <v>46205</v>
      </c>
      <c r="B18" s="13">
        <f>TEXT(A18,"yyyy-mm")</f>
        <v/>
      </c>
      <c r="C18" s="14" t="inlineStr">
        <is>
          <t>收入</t>
        </is>
      </c>
      <c r="D18" s="14" t="inlineStr">
        <is>
          <t>运营部</t>
        </is>
      </c>
      <c r="E18" s="14" t="inlineStr">
        <is>
          <t>金坛体育馆站</t>
        </is>
      </c>
      <c r="F18" s="14" t="inlineStr">
        <is>
          <t>充电服务收入</t>
        </is>
      </c>
      <c r="G18" s="14" t="inlineStr">
        <is>
          <t>7月充电服务预结算</t>
        </is>
      </c>
      <c r="H18" s="14" t="inlineStr">
        <is>
          <t>常州某运营公司</t>
        </is>
      </c>
      <c r="I18" s="14" t="inlineStr">
        <is>
          <t>已开票</t>
        </is>
      </c>
      <c r="J18" s="14" t="inlineStr">
        <is>
          <t>已收款</t>
        </is>
      </c>
      <c r="K18" s="14" t="inlineStr">
        <is>
          <t>银行转账</t>
        </is>
      </c>
      <c r="L18" s="61" t="n">
        <v>335000</v>
      </c>
      <c r="M18" s="16" t="n">
        <v>0.06</v>
      </c>
      <c r="N18" s="62">
        <f>IFERROR(L18*M18/(1+M18),0)</f>
        <v/>
      </c>
      <c r="O18" s="62">
        <f>L18-N18</f>
        <v/>
      </c>
      <c r="P18" s="14" t="inlineStr">
        <is>
          <t>张敏</t>
        </is>
      </c>
      <c r="Q18" s="13">
        <f>IF(A18="","",IF(OR(L18&lt;=0,C18="",D18="",F18=""),"需检查",IF(AND(C18="支出",I18="未收票"),"缺发票","正常")))</f>
        <v/>
      </c>
    </row>
    <row r="19" ht="16.5" customHeight="1">
      <c r="A19" s="60" t="n">
        <v>46208</v>
      </c>
      <c r="B19" s="13">
        <f>TEXT(A19,"yyyy-mm")</f>
        <v/>
      </c>
      <c r="C19" s="14" t="inlineStr">
        <is>
          <t>支出</t>
        </is>
      </c>
      <c r="D19" s="14" t="inlineStr">
        <is>
          <t>运营部</t>
        </is>
      </c>
      <c r="E19" s="14" t="inlineStr">
        <is>
          <t>金坛体育馆站</t>
        </is>
      </c>
      <c r="F19" s="14" t="inlineStr">
        <is>
          <t>电费</t>
        </is>
      </c>
      <c r="G19" s="14" t="inlineStr">
        <is>
          <t>7月场站购电费</t>
        </is>
      </c>
      <c r="H19" s="14" t="inlineStr">
        <is>
          <t>国网常州供电公司</t>
        </is>
      </c>
      <c r="I19" s="14" t="inlineStr">
        <is>
          <t>已收票</t>
        </is>
      </c>
      <c r="J19" s="14" t="inlineStr">
        <is>
          <t>已付款</t>
        </is>
      </c>
      <c r="K19" s="14" t="inlineStr">
        <is>
          <t>银行转账</t>
        </is>
      </c>
      <c r="L19" s="61" t="n">
        <v>108000</v>
      </c>
      <c r="M19" s="16" t="n">
        <v>0.13</v>
      </c>
      <c r="N19" s="62">
        <f>IFERROR(L19*M19/(1+M19),0)</f>
        <v/>
      </c>
      <c r="O19" s="62">
        <f>L19-N19</f>
        <v/>
      </c>
      <c r="P19" s="14" t="inlineStr">
        <is>
          <t>王芳</t>
        </is>
      </c>
      <c r="Q19" s="13">
        <f>IF(A19="","",IF(OR(L19&lt;=0,C19="",D19="",F19=""),"需检查",IF(AND(C19="支出",I19="未收票"),"缺发票","正常")))</f>
        <v/>
      </c>
    </row>
    <row r="20" ht="16.5" customHeight="1">
      <c r="A20" s="60" t="n">
        <v>46211</v>
      </c>
      <c r="B20" s="13">
        <f>TEXT(A20,"yyyy-mm")</f>
        <v/>
      </c>
      <c r="C20" s="14" t="inlineStr">
        <is>
          <t>支出</t>
        </is>
      </c>
      <c r="D20" s="14" t="inlineStr">
        <is>
          <t>研发部</t>
        </is>
      </c>
      <c r="E20" s="14" t="inlineStr">
        <is>
          <t>AI平台一期</t>
        </is>
      </c>
      <c r="F20" s="14" t="inlineStr">
        <is>
          <t>软件服务费</t>
        </is>
      </c>
      <c r="G20" s="14" t="inlineStr">
        <is>
          <t>7月模型API费用</t>
        </is>
      </c>
      <c r="H20" s="14" t="inlineStr">
        <is>
          <t>某科技公司</t>
        </is>
      </c>
      <c r="I20" s="14" t="inlineStr">
        <is>
          <t>已收票</t>
        </is>
      </c>
      <c r="J20" s="14" t="inlineStr">
        <is>
          <t>未付款</t>
        </is>
      </c>
      <c r="K20" s="14" t="inlineStr">
        <is>
          <t>银行转账</t>
        </is>
      </c>
      <c r="L20" s="61" t="n">
        <v>42000</v>
      </c>
      <c r="M20" s="16" t="n">
        <v>0.06</v>
      </c>
      <c r="N20" s="62">
        <f>IFERROR(L20*M20/(1+M20),0)</f>
        <v/>
      </c>
      <c r="O20" s="62">
        <f>L20-N20</f>
        <v/>
      </c>
      <c r="P20" s="14" t="inlineStr">
        <is>
          <t>李强</t>
        </is>
      </c>
      <c r="Q20" s="13">
        <f>IF(A20="","",IF(OR(L20&lt;=0,C20="",D20="",F20=""),"需检查",IF(AND(C20="支出",I20="未收票"),"缺发票","正常")))</f>
        <v/>
      </c>
    </row>
    <row r="21" ht="16.5" customHeight="1">
      <c r="A21" s="60" t="n">
        <v>46214</v>
      </c>
      <c r="B21" s="13">
        <f>TEXT(A21,"yyyy-mm")</f>
        <v/>
      </c>
      <c r="C21" s="14" t="inlineStr">
        <is>
          <t>支出</t>
        </is>
      </c>
      <c r="D21" s="14" t="inlineStr">
        <is>
          <t>市场部</t>
        </is>
      </c>
      <c r="E21" s="14" t="inlineStr">
        <is>
          <t>品牌推广</t>
        </is>
      </c>
      <c r="F21" s="14" t="inlineStr">
        <is>
          <t>市场推广费</t>
        </is>
      </c>
      <c r="G21" s="14" t="inlineStr">
        <is>
          <t>内容制作费用</t>
        </is>
      </c>
      <c r="H21" s="14" t="inlineStr">
        <is>
          <t>某传媒公司</t>
        </is>
      </c>
      <c r="I21" s="14" t="inlineStr">
        <is>
          <t>未收票</t>
        </is>
      </c>
      <c r="J21" s="14" t="inlineStr">
        <is>
          <t>未付款</t>
        </is>
      </c>
      <c r="K21" s="14" t="inlineStr">
        <is>
          <t>银行转账</t>
        </is>
      </c>
      <c r="L21" s="61" t="n">
        <v>18000</v>
      </c>
      <c r="M21" s="16" t="n">
        <v>0.06</v>
      </c>
      <c r="N21" s="62">
        <f>IFERROR(L21*M21/(1+M21),0)</f>
        <v/>
      </c>
      <c r="O21" s="62">
        <f>L21-N21</f>
        <v/>
      </c>
      <c r="P21" s="14" t="inlineStr">
        <is>
          <t>赵晨</t>
        </is>
      </c>
      <c r="Q21" s="13">
        <f>IF(A21="","",IF(OR(L21&lt;=0,C21="",D21="",F21=""),"需检查",IF(AND(C21="支出",I21="未收票"),"缺发票","正常")))</f>
        <v/>
      </c>
    </row>
    <row r="22" ht="16.5" customHeight="1">
      <c r="A22" s="60" t="n">
        <v>46218</v>
      </c>
      <c r="B22" s="13">
        <f>TEXT(A22,"yyyy-mm")</f>
        <v/>
      </c>
      <c r="C22" s="14" t="inlineStr">
        <is>
          <t>收入</t>
        </is>
      </c>
      <c r="D22" s="14" t="inlineStr">
        <is>
          <t>项目部</t>
        </is>
      </c>
      <c r="E22" s="14" t="inlineStr">
        <is>
          <t>数据平台项目</t>
        </is>
      </c>
      <c r="F22" s="14" t="inlineStr">
        <is>
          <t>项目服务收入</t>
        </is>
      </c>
      <c r="G22" s="14" t="inlineStr">
        <is>
          <t>验收尾款</t>
        </is>
      </c>
      <c r="H22" s="14" t="inlineStr">
        <is>
          <t>某电力公司</t>
        </is>
      </c>
      <c r="I22" s="14" t="inlineStr">
        <is>
          <t>未开票</t>
        </is>
      </c>
      <c r="J22" s="14" t="inlineStr">
        <is>
          <t>未收款</t>
        </is>
      </c>
      <c r="K22" s="14" t="inlineStr">
        <is>
          <t>银行转账</t>
        </is>
      </c>
      <c r="L22" s="61" t="n">
        <v>220000</v>
      </c>
      <c r="M22" s="16" t="n">
        <v>0.06</v>
      </c>
      <c r="N22" s="62">
        <f>IFERROR(L22*M22/(1+M22),0)</f>
        <v/>
      </c>
      <c r="O22" s="62">
        <f>L22-N22</f>
        <v/>
      </c>
      <c r="P22" s="14" t="inlineStr">
        <is>
          <t>陈杰</t>
        </is>
      </c>
      <c r="Q22" s="13">
        <f>IF(A22="","",IF(OR(L22&lt;=0,C22="",D22="",F22=""),"需检查",IF(AND(C22="支出",I22="未收票"),"缺发票","正常")))</f>
        <v/>
      </c>
    </row>
    <row r="23" ht="16.5" customHeight="1">
      <c r="A23" s="60" t="n"/>
      <c r="B23" s="13">
        <f>TEXT(A23,"yyyy-mm")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61" t="n"/>
      <c r="M23" s="16" t="n"/>
      <c r="N23" s="62">
        <f>IFERROR(L23*M23/(1+M23),0)</f>
        <v/>
      </c>
      <c r="O23" s="62">
        <f>L23-N23</f>
        <v/>
      </c>
      <c r="P23" s="14" t="n"/>
      <c r="Q23" s="13">
        <f>IF(A23="","",IF(OR(L23&lt;=0,C23="",D23="",F23=""),"需检查",IF(AND(C23="支出",I23="未收票"),"缺发票","正常")))</f>
        <v/>
      </c>
    </row>
    <row r="24" ht="16.5" customHeight="1">
      <c r="A24" s="60" t="n"/>
      <c r="B24" s="13">
        <f>TEXT(A24,"yyyy-mm")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61" t="n"/>
      <c r="M24" s="16" t="n"/>
      <c r="N24" s="62">
        <f>IFERROR(L24*M24/(1+M24),0)</f>
        <v/>
      </c>
      <c r="O24" s="62">
        <f>L24-N24</f>
        <v/>
      </c>
      <c r="P24" s="14" t="n"/>
      <c r="Q24" s="13">
        <f>IF(A24="","",IF(OR(L24&lt;=0,C24="",D24="",F24=""),"需检查",IF(AND(C24="支出",I24="未收票"),"缺发票","正常")))</f>
        <v/>
      </c>
    </row>
    <row r="25" ht="16.5" customHeight="1">
      <c r="A25" s="60" t="n"/>
      <c r="B25" s="13">
        <f>TEXT(A25,"yyyy-mm")</f>
        <v/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61" t="n"/>
      <c r="M25" s="16" t="n"/>
      <c r="N25" s="62">
        <f>IFERROR(L25*M25/(1+M25),0)</f>
        <v/>
      </c>
      <c r="O25" s="62">
        <f>L25-N25</f>
        <v/>
      </c>
      <c r="P25" s="14" t="n"/>
      <c r="Q25" s="13">
        <f>IF(A25="","",IF(OR(L25&lt;=0,C25="",D25="",F25=""),"需检查",IF(AND(C25="支出",I25="未收票"),"缺发票","正常")))</f>
        <v/>
      </c>
    </row>
    <row r="26" ht="16.5" customHeight="1">
      <c r="A26" s="60" t="n"/>
      <c r="B26" s="13">
        <f>TEXT(A26,"yyyy-mm")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61" t="n"/>
      <c r="M26" s="16" t="n"/>
      <c r="N26" s="62">
        <f>IFERROR(L26*M26/(1+M26),0)</f>
        <v/>
      </c>
      <c r="O26" s="62">
        <f>L26-N26</f>
        <v/>
      </c>
      <c r="P26" s="14" t="n"/>
      <c r="Q26" s="13">
        <f>IF(A26="","",IF(OR(L26&lt;=0,C26="",D26="",F26=""),"需检查",IF(AND(C26="支出",I26="未收票"),"缺发票","正常")))</f>
        <v/>
      </c>
    </row>
    <row r="27" ht="16.5" customHeight="1">
      <c r="A27" s="60" t="n"/>
      <c r="B27" s="13">
        <f>TEXT(A27,"yyyy-mm")</f>
        <v/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61" t="n"/>
      <c r="M27" s="16" t="n"/>
      <c r="N27" s="62">
        <f>IFERROR(L27*M27/(1+M27),0)</f>
        <v/>
      </c>
      <c r="O27" s="62">
        <f>L27-N27</f>
        <v/>
      </c>
      <c r="P27" s="14" t="n"/>
      <c r="Q27" s="13">
        <f>IF(A27="","",IF(OR(L27&lt;=0,C27="",D27="",F27=""),"需检查",IF(AND(C27="支出",I27="未收票"),"缺发票","正常")))</f>
        <v/>
      </c>
    </row>
    <row r="28" ht="16.5" customHeight="1">
      <c r="A28" s="60" t="n"/>
      <c r="B28" s="13">
        <f>TEXT(A28,"yyyy-mm")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61" t="n"/>
      <c r="M28" s="16" t="n"/>
      <c r="N28" s="62">
        <f>IFERROR(L28*M28/(1+M28),0)</f>
        <v/>
      </c>
      <c r="O28" s="62">
        <f>L28-N28</f>
        <v/>
      </c>
      <c r="P28" s="14" t="n"/>
      <c r="Q28" s="13">
        <f>IF(A28="","",IF(OR(L28&lt;=0,C28="",D28="",F28=""),"需检查",IF(AND(C28="支出",I28="未收票"),"缺发票","正常")))</f>
        <v/>
      </c>
    </row>
    <row r="29" ht="16.5" customHeight="1">
      <c r="A29" s="60" t="n"/>
      <c r="B29" s="13">
        <f>TEXT(A29,"yyyy-mm")</f>
        <v/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61" t="n"/>
      <c r="M29" s="16" t="n"/>
      <c r="N29" s="62">
        <f>IFERROR(L29*M29/(1+M29),0)</f>
        <v/>
      </c>
      <c r="O29" s="62">
        <f>L29-N29</f>
        <v/>
      </c>
      <c r="P29" s="14" t="n"/>
      <c r="Q29" s="13">
        <f>IF(A29="","",IF(OR(L29&lt;=0,C29="",D29="",F29=""),"需检查",IF(AND(C29="支出",I29="未收票"),"缺发票","正常")))</f>
        <v/>
      </c>
    </row>
    <row r="30" ht="16.5" customHeight="1">
      <c r="A30" s="60" t="n"/>
      <c r="B30" s="13">
        <f>TEXT(A30,"yyyy-mm")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61" t="n"/>
      <c r="M30" s="16" t="n"/>
      <c r="N30" s="62">
        <f>IFERROR(L30*M30/(1+M30),0)</f>
        <v/>
      </c>
      <c r="O30" s="62">
        <f>L30-N30</f>
        <v/>
      </c>
      <c r="P30" s="14" t="n"/>
      <c r="Q30" s="13">
        <f>IF(A30="","",IF(OR(L30&lt;=0,C30="",D30="",F30=""),"需检查",IF(AND(C30="支出",I30="未收票"),"缺发票","正常")))</f>
        <v/>
      </c>
    </row>
    <row r="31" ht="16.5" customHeight="1">
      <c r="A31" s="60" t="n"/>
      <c r="B31" s="13">
        <f>TEXT(A31,"yyyy-mm")</f>
        <v/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61" t="n"/>
      <c r="M31" s="16" t="n"/>
      <c r="N31" s="62">
        <f>IFERROR(L31*M31/(1+M31),0)</f>
        <v/>
      </c>
      <c r="O31" s="62">
        <f>L31-N31</f>
        <v/>
      </c>
      <c r="P31" s="14" t="n"/>
      <c r="Q31" s="13">
        <f>IF(A31="","",IF(OR(L31&lt;=0,C31="",D31="",F31=""),"需检查",IF(AND(C31="支出",I31="未收票"),"缺发票","正常")))</f>
        <v/>
      </c>
    </row>
    <row r="32" ht="16.5" customHeight="1">
      <c r="A32" s="60" t="n"/>
      <c r="B32" s="13">
        <f>TEXT(A32,"yyyy-mm")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61" t="n"/>
      <c r="M32" s="16" t="n"/>
      <c r="N32" s="62">
        <f>IFERROR(L32*M32/(1+M32),0)</f>
        <v/>
      </c>
      <c r="O32" s="62">
        <f>L32-N32</f>
        <v/>
      </c>
      <c r="P32" s="14" t="n"/>
      <c r="Q32" s="13">
        <f>IF(A32="","",IF(OR(L32&lt;=0,C32="",D32="",F32=""),"需检查",IF(AND(C32="支出",I32="未收票"),"缺发票","正常")))</f>
        <v/>
      </c>
    </row>
    <row r="33" ht="16.5" customHeight="1">
      <c r="A33" s="60" t="n"/>
      <c r="B33" s="13">
        <f>TEXT(A33,"yyyy-mm")</f>
        <v/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61" t="n"/>
      <c r="M33" s="16" t="n"/>
      <c r="N33" s="62">
        <f>IFERROR(L33*M33/(1+M33),0)</f>
        <v/>
      </c>
      <c r="O33" s="62">
        <f>L33-N33</f>
        <v/>
      </c>
      <c r="P33" s="14" t="n"/>
      <c r="Q33" s="13">
        <f>IF(A33="","",IF(OR(L33&lt;=0,C33="",D33="",F33=""),"需检查",IF(AND(C33="支出",I33="未收票"),"缺发票","正常")))</f>
        <v/>
      </c>
    </row>
    <row r="34" ht="16.5" customHeight="1">
      <c r="A34" s="60" t="n"/>
      <c r="B34" s="13">
        <f>TEXT(A34,"yyyy-mm")</f>
        <v/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61" t="n"/>
      <c r="M34" s="16" t="n"/>
      <c r="N34" s="62">
        <f>IFERROR(L34*M34/(1+M34),0)</f>
        <v/>
      </c>
      <c r="O34" s="62">
        <f>L34-N34</f>
        <v/>
      </c>
      <c r="P34" s="14" t="n"/>
      <c r="Q34" s="13">
        <f>IF(A34="","",IF(OR(L34&lt;=0,C34="",D34="",F34=""),"需检查",IF(AND(C34="支出",I34="未收票"),"缺发票","正常")))</f>
        <v/>
      </c>
    </row>
    <row r="35" ht="16.5" customHeight="1">
      <c r="A35" s="60" t="n"/>
      <c r="B35" s="13">
        <f>TEXT(A35,"yyyy-mm")</f>
        <v/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61" t="n"/>
      <c r="M35" s="16" t="n"/>
      <c r="N35" s="62">
        <f>IFERROR(L35*M35/(1+M35),0)</f>
        <v/>
      </c>
      <c r="O35" s="62">
        <f>L35-N35</f>
        <v/>
      </c>
      <c r="P35" s="14" t="n"/>
      <c r="Q35" s="13">
        <f>IF(A35="","",IF(OR(L35&lt;=0,C35="",D35="",F35=""),"需检查",IF(AND(C35="支出",I35="未收票"),"缺发票","正常")))</f>
        <v/>
      </c>
    </row>
    <row r="36" ht="16.5" customHeight="1">
      <c r="A36" s="60" t="n"/>
      <c r="B36" s="13">
        <f>TEXT(A36,"yyyy-mm")</f>
        <v/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61" t="n"/>
      <c r="M36" s="16" t="n"/>
      <c r="N36" s="62">
        <f>IFERROR(L36*M36/(1+M36),0)</f>
        <v/>
      </c>
      <c r="O36" s="62">
        <f>L36-N36</f>
        <v/>
      </c>
      <c r="P36" s="14" t="n"/>
      <c r="Q36" s="13">
        <f>IF(A36="","",IF(OR(L36&lt;=0,C36="",D36="",F36=""),"需检查",IF(AND(C36="支出",I36="未收票"),"缺发票","正常")))</f>
        <v/>
      </c>
    </row>
    <row r="37" ht="16.5" customHeight="1">
      <c r="A37" s="60" t="n"/>
      <c r="B37" s="13">
        <f>TEXT(A37,"yyyy-mm")</f>
        <v/>
      </c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61" t="n"/>
      <c r="M37" s="16" t="n"/>
      <c r="N37" s="62">
        <f>IFERROR(L37*M37/(1+M37),0)</f>
        <v/>
      </c>
      <c r="O37" s="62">
        <f>L37-N37</f>
        <v/>
      </c>
      <c r="P37" s="14" t="n"/>
      <c r="Q37" s="13">
        <f>IF(A37="","",IF(OR(L37&lt;=0,C37="",D37="",F37=""),"需检查",IF(AND(C37="支出",I37="未收票"),"缺发票","正常")))</f>
        <v/>
      </c>
    </row>
    <row r="38" ht="16.5" customHeight="1">
      <c r="A38" s="60" t="n"/>
      <c r="B38" s="13">
        <f>TEXT(A38,"yyyy-mm")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61" t="n"/>
      <c r="M38" s="16" t="n"/>
      <c r="N38" s="62">
        <f>IFERROR(L38*M38/(1+M38),0)</f>
        <v/>
      </c>
      <c r="O38" s="62">
        <f>L38-N38</f>
        <v/>
      </c>
      <c r="P38" s="14" t="n"/>
      <c r="Q38" s="13">
        <f>IF(A38="","",IF(OR(L38&lt;=0,C38="",D38="",F38=""),"需检查",IF(AND(C38="支出",I38="未收票"),"缺发票","正常")))</f>
        <v/>
      </c>
    </row>
    <row r="39" ht="16.5" customHeight="1">
      <c r="A39" s="60" t="n"/>
      <c r="B39" s="13">
        <f>TEXT(A39,"yyyy-mm")</f>
        <v/>
      </c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61" t="n"/>
      <c r="M39" s="16" t="n"/>
      <c r="N39" s="62">
        <f>IFERROR(L39*M39/(1+M39),0)</f>
        <v/>
      </c>
      <c r="O39" s="62">
        <f>L39-N39</f>
        <v/>
      </c>
      <c r="P39" s="14" t="n"/>
      <c r="Q39" s="13">
        <f>IF(A39="","",IF(OR(L39&lt;=0,C39="",D39="",F39=""),"需检查",IF(AND(C39="支出",I39="未收票"),"缺发票","正常")))</f>
        <v/>
      </c>
    </row>
    <row r="40" ht="16.5" customHeight="1">
      <c r="A40" s="60" t="n"/>
      <c r="B40" s="13">
        <f>TEXT(A40,"yyyy-mm")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61" t="n"/>
      <c r="M40" s="16" t="n"/>
      <c r="N40" s="62">
        <f>IFERROR(L40*M40/(1+M40),0)</f>
        <v/>
      </c>
      <c r="O40" s="62">
        <f>L40-N40</f>
        <v/>
      </c>
      <c r="P40" s="14" t="n"/>
      <c r="Q40" s="13">
        <f>IF(A40="","",IF(OR(L40&lt;=0,C40="",D40="",F40=""),"需检查",IF(AND(C40="支出",I40="未收票"),"缺发票","正常")))</f>
        <v/>
      </c>
    </row>
    <row r="41" ht="16.5" customHeight="1">
      <c r="A41" s="60" t="n"/>
      <c r="B41" s="13">
        <f>TEXT(A41,"yyyy-mm")</f>
        <v/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61" t="n"/>
      <c r="M41" s="16" t="n"/>
      <c r="N41" s="62">
        <f>IFERROR(L41*M41/(1+M41),0)</f>
        <v/>
      </c>
      <c r="O41" s="62">
        <f>L41-N41</f>
        <v/>
      </c>
      <c r="P41" s="14" t="n"/>
      <c r="Q41" s="13">
        <f>IF(A41="","",IF(OR(L41&lt;=0,C41="",D41="",F41=""),"需检查",IF(AND(C41="支出",I41="未收票"),"缺发票","正常")))</f>
        <v/>
      </c>
    </row>
    <row r="42" ht="16.5" customHeight="1">
      <c r="A42" s="60" t="n"/>
      <c r="B42" s="13">
        <f>TEXT(A42,"yyyy-mm")</f>
        <v/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61" t="n"/>
      <c r="M42" s="16" t="n"/>
      <c r="N42" s="62">
        <f>IFERROR(L42*M42/(1+M42),0)</f>
        <v/>
      </c>
      <c r="O42" s="62">
        <f>L42-N42</f>
        <v/>
      </c>
      <c r="P42" s="14" t="n"/>
      <c r="Q42" s="13">
        <f>IF(A42="","",IF(OR(L42&lt;=0,C42="",D42="",F42=""),"需检查",IF(AND(C42="支出",I42="未收票"),"缺发票","正常")))</f>
        <v/>
      </c>
    </row>
    <row r="43" ht="16.5" customHeight="1">
      <c r="A43" s="60" t="n"/>
      <c r="B43" s="13">
        <f>TEXT(A43,"yyyy-mm")</f>
        <v/>
      </c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61" t="n"/>
      <c r="M43" s="16" t="n"/>
      <c r="N43" s="62">
        <f>IFERROR(L43*M43/(1+M43),0)</f>
        <v/>
      </c>
      <c r="O43" s="62">
        <f>L43-N43</f>
        <v/>
      </c>
      <c r="P43" s="14" t="n"/>
      <c r="Q43" s="13">
        <f>IF(A43="","",IF(OR(L43&lt;=0,C43="",D43="",F43=""),"需检查",IF(AND(C43="支出",I43="未收票"),"缺发票","正常")))</f>
        <v/>
      </c>
    </row>
    <row r="44" ht="16.5" customHeight="1">
      <c r="A44" s="60" t="n"/>
      <c r="B44" s="13">
        <f>TEXT(A44,"yyyy-mm")</f>
        <v/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61" t="n"/>
      <c r="M44" s="16" t="n"/>
      <c r="N44" s="62">
        <f>IFERROR(L44*M44/(1+M44),0)</f>
        <v/>
      </c>
      <c r="O44" s="62">
        <f>L44-N44</f>
        <v/>
      </c>
      <c r="P44" s="14" t="n"/>
      <c r="Q44" s="13">
        <f>IF(A44="","",IF(OR(L44&lt;=0,C44="",D44="",F44=""),"需检查",IF(AND(C44="支出",I44="未收票"),"缺发票","正常")))</f>
        <v/>
      </c>
    </row>
    <row r="45" ht="16.5" customHeight="1">
      <c r="A45" s="60" t="n"/>
      <c r="B45" s="13">
        <f>TEXT(A45,"yyyy-mm")</f>
        <v/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61" t="n"/>
      <c r="M45" s="16" t="n"/>
      <c r="N45" s="62">
        <f>IFERROR(L45*M45/(1+M45),0)</f>
        <v/>
      </c>
      <c r="O45" s="62">
        <f>L45-N45</f>
        <v/>
      </c>
      <c r="P45" s="14" t="n"/>
      <c r="Q45" s="13">
        <f>IF(A45="","",IF(OR(L45&lt;=0,C45="",D45="",F45=""),"需检查",IF(AND(C45="支出",I45="未收票"),"缺发票","正常")))</f>
        <v/>
      </c>
    </row>
    <row r="46" ht="16.5" customHeight="1">
      <c r="A46" s="60" t="n"/>
      <c r="B46" s="13">
        <f>TEXT(A46,"yyyy-mm")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61" t="n"/>
      <c r="M46" s="16" t="n"/>
      <c r="N46" s="62">
        <f>IFERROR(L46*M46/(1+M46),0)</f>
        <v/>
      </c>
      <c r="O46" s="62">
        <f>L46-N46</f>
        <v/>
      </c>
      <c r="P46" s="14" t="n"/>
      <c r="Q46" s="13">
        <f>IF(A46="","",IF(OR(L46&lt;=0,C46="",D46="",F46=""),"需检查",IF(AND(C46="支出",I46="未收票"),"缺发票","正常")))</f>
        <v/>
      </c>
    </row>
    <row r="47" ht="16.5" customHeight="1">
      <c r="A47" s="60" t="n"/>
      <c r="B47" s="13">
        <f>TEXT(A47,"yyyy-mm")</f>
        <v/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61" t="n"/>
      <c r="M47" s="16" t="n"/>
      <c r="N47" s="62">
        <f>IFERROR(L47*M47/(1+M47),0)</f>
        <v/>
      </c>
      <c r="O47" s="62">
        <f>L47-N47</f>
        <v/>
      </c>
      <c r="P47" s="14" t="n"/>
      <c r="Q47" s="13">
        <f>IF(A47="","",IF(OR(L47&lt;=0,C47="",D47="",F47=""),"需检查",IF(AND(C47="支出",I47="未收票"),"缺发票","正常")))</f>
        <v/>
      </c>
    </row>
    <row r="48" ht="16.5" customHeight="1">
      <c r="A48" s="60" t="n"/>
      <c r="B48" s="13">
        <f>TEXT(A48,"yyyy-mm")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61" t="n"/>
      <c r="M48" s="16" t="n"/>
      <c r="N48" s="62">
        <f>IFERROR(L48*M48/(1+M48),0)</f>
        <v/>
      </c>
      <c r="O48" s="62">
        <f>L48-N48</f>
        <v/>
      </c>
      <c r="P48" s="14" t="n"/>
      <c r="Q48" s="13">
        <f>IF(A48="","",IF(OR(L48&lt;=0,C48="",D48="",F48=""),"需检查",IF(AND(C48="支出",I48="未收票"),"缺发票","正常")))</f>
        <v/>
      </c>
    </row>
    <row r="49" ht="16.5" customHeight="1">
      <c r="A49" s="60" t="n"/>
      <c r="B49" s="13">
        <f>TEXT(A49,"yyyy-mm")</f>
        <v/>
      </c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61" t="n"/>
      <c r="M49" s="16" t="n"/>
      <c r="N49" s="62">
        <f>IFERROR(L49*M49/(1+M49),0)</f>
        <v/>
      </c>
      <c r="O49" s="62">
        <f>L49-N49</f>
        <v/>
      </c>
      <c r="P49" s="14" t="n"/>
      <c r="Q49" s="13">
        <f>IF(A49="","",IF(OR(L49&lt;=0,C49="",D49="",F49=""),"需检查",IF(AND(C49="支出",I49="未收票"),"缺发票","正常")))</f>
        <v/>
      </c>
    </row>
    <row r="50" ht="16.5" customHeight="1">
      <c r="A50" s="60" t="n"/>
      <c r="B50" s="13">
        <f>TEXT(A50,"yyyy-mm")</f>
        <v/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61" t="n"/>
      <c r="M50" s="16" t="n"/>
      <c r="N50" s="62">
        <f>IFERROR(L50*M50/(1+M50),0)</f>
        <v/>
      </c>
      <c r="O50" s="62">
        <f>L50-N50</f>
        <v/>
      </c>
      <c r="P50" s="14" t="n"/>
      <c r="Q50" s="13">
        <f>IF(A50="","",IF(OR(L50&lt;=0,C50="",D50="",F50=""),"需检查",IF(AND(C50="支出",I50="未收票"),"缺发票","正常")))</f>
        <v/>
      </c>
    </row>
    <row r="51" ht="16.5" customHeight="1">
      <c r="A51" s="60" t="n"/>
      <c r="B51" s="13">
        <f>TEXT(A51,"yyyy-mm")</f>
        <v/>
      </c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61" t="n"/>
      <c r="M51" s="16" t="n"/>
      <c r="N51" s="62">
        <f>IFERROR(L51*M51/(1+M51),0)</f>
        <v/>
      </c>
      <c r="O51" s="62">
        <f>L51-N51</f>
        <v/>
      </c>
      <c r="P51" s="14" t="n"/>
      <c r="Q51" s="13">
        <f>IF(A51="","",IF(OR(L51&lt;=0,C51="",D51="",F51=""),"需检查",IF(AND(C51="支出",I51="未收票"),"缺发票","正常")))</f>
        <v/>
      </c>
    </row>
    <row r="52" ht="16.5" customHeight="1">
      <c r="A52" s="60" t="n"/>
      <c r="B52" s="13">
        <f>TEXT(A52,"yyyy-mm")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61" t="n"/>
      <c r="M52" s="16" t="n"/>
      <c r="N52" s="62">
        <f>IFERROR(L52*M52/(1+M52),0)</f>
        <v/>
      </c>
      <c r="O52" s="62">
        <f>L52-N52</f>
        <v/>
      </c>
      <c r="P52" s="14" t="n"/>
      <c r="Q52" s="13">
        <f>IF(A52="","",IF(OR(L52&lt;=0,C52="",D52="",F52=""),"需检查",IF(AND(C52="支出",I52="未收票"),"缺发票","正常")))</f>
        <v/>
      </c>
    </row>
    <row r="53" ht="16.5" customHeight="1">
      <c r="A53" s="60" t="n"/>
      <c r="B53" s="13">
        <f>TEXT(A53,"yyyy-mm")</f>
        <v/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61" t="n"/>
      <c r="M53" s="16" t="n"/>
      <c r="N53" s="62">
        <f>IFERROR(L53*M53/(1+M53),0)</f>
        <v/>
      </c>
      <c r="O53" s="62">
        <f>L53-N53</f>
        <v/>
      </c>
      <c r="P53" s="14" t="n"/>
      <c r="Q53" s="13">
        <f>IF(A53="","",IF(OR(L53&lt;=0,C53="",D53="",F53=""),"需检查",IF(AND(C53="支出",I53="未收票"),"缺发票","正常")))</f>
        <v/>
      </c>
    </row>
    <row r="54" ht="16.5" customHeight="1">
      <c r="A54" s="60" t="n"/>
      <c r="B54" s="13">
        <f>TEXT(A54,"yyyy-mm")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61" t="n"/>
      <c r="M54" s="16" t="n"/>
      <c r="N54" s="62">
        <f>IFERROR(L54*M54/(1+M54),0)</f>
        <v/>
      </c>
      <c r="O54" s="62">
        <f>L54-N54</f>
        <v/>
      </c>
      <c r="P54" s="14" t="n"/>
      <c r="Q54" s="13">
        <f>IF(A54="","",IF(OR(L54&lt;=0,C54="",D54="",F54=""),"需检查",IF(AND(C54="支出",I54="未收票"),"缺发票","正常")))</f>
        <v/>
      </c>
    </row>
    <row r="55" ht="16.5" customHeight="1">
      <c r="A55" s="60" t="n"/>
      <c r="B55" s="13">
        <f>TEXT(A55,"yyyy-mm")</f>
        <v/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61" t="n"/>
      <c r="M55" s="16" t="n"/>
      <c r="N55" s="62">
        <f>IFERROR(L55*M55/(1+M55),0)</f>
        <v/>
      </c>
      <c r="O55" s="62">
        <f>L55-N55</f>
        <v/>
      </c>
      <c r="P55" s="14" t="n"/>
      <c r="Q55" s="13">
        <f>IF(A55="","",IF(OR(L55&lt;=0,C55="",D55="",F55=""),"需检查",IF(AND(C55="支出",I55="未收票"),"缺发票","正常")))</f>
        <v/>
      </c>
    </row>
    <row r="56" ht="16.5" customHeight="1">
      <c r="A56" s="60" t="n"/>
      <c r="B56" s="13">
        <f>TEXT(A56,"yyyy-mm")</f>
        <v/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61" t="n"/>
      <c r="M56" s="16" t="n"/>
      <c r="N56" s="62">
        <f>IFERROR(L56*M56/(1+M56),0)</f>
        <v/>
      </c>
      <c r="O56" s="62">
        <f>L56-N56</f>
        <v/>
      </c>
      <c r="P56" s="14" t="n"/>
      <c r="Q56" s="13">
        <f>IF(A56="","",IF(OR(L56&lt;=0,C56="",D56="",F56=""),"需检查",IF(AND(C56="支出",I56="未收票"),"缺发票","正常")))</f>
        <v/>
      </c>
    </row>
    <row r="57" ht="16.5" customHeight="1">
      <c r="A57" s="60" t="n"/>
      <c r="B57" s="13">
        <f>TEXT(A57,"yyyy-mm")</f>
        <v/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61" t="n"/>
      <c r="M57" s="16" t="n"/>
      <c r="N57" s="62">
        <f>IFERROR(L57*M57/(1+M57),0)</f>
        <v/>
      </c>
      <c r="O57" s="62">
        <f>L57-N57</f>
        <v/>
      </c>
      <c r="P57" s="14" t="n"/>
      <c r="Q57" s="13">
        <f>IF(A57="","",IF(OR(L57&lt;=0,C57="",D57="",F57=""),"需检查",IF(AND(C57="支出",I57="未收票"),"缺发票","正常")))</f>
        <v/>
      </c>
    </row>
    <row r="58" ht="16.5" customHeight="1">
      <c r="A58" s="60" t="n"/>
      <c r="B58" s="13">
        <f>TEXT(A58,"yyyy-mm")</f>
        <v/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61" t="n"/>
      <c r="M58" s="16" t="n"/>
      <c r="N58" s="62">
        <f>IFERROR(L58*M58/(1+M58),0)</f>
        <v/>
      </c>
      <c r="O58" s="62">
        <f>L58-N58</f>
        <v/>
      </c>
      <c r="P58" s="14" t="n"/>
      <c r="Q58" s="13">
        <f>IF(A58="","",IF(OR(L58&lt;=0,C58="",D58="",F58=""),"需检查",IF(AND(C58="支出",I58="未收票"),"缺发票","正常")))</f>
        <v/>
      </c>
    </row>
    <row r="59" ht="16.5" customHeight="1">
      <c r="A59" s="60" t="n"/>
      <c r="B59" s="13">
        <f>TEXT(A59,"yyyy-mm")</f>
        <v/>
      </c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61" t="n"/>
      <c r="M59" s="16" t="n"/>
      <c r="N59" s="62">
        <f>IFERROR(L59*M59/(1+M59),0)</f>
        <v/>
      </c>
      <c r="O59" s="62">
        <f>L59-N59</f>
        <v/>
      </c>
      <c r="P59" s="14" t="n"/>
      <c r="Q59" s="13">
        <f>IF(A59="","",IF(OR(L59&lt;=0,C59="",D59="",F59=""),"需检查",IF(AND(C59="支出",I59="未收票"),"缺发票","正常")))</f>
        <v/>
      </c>
    </row>
    <row r="60" ht="16.5" customHeight="1">
      <c r="A60" s="60" t="n"/>
      <c r="B60" s="13">
        <f>TEXT(A60,"yyyy-mm")</f>
        <v/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61" t="n"/>
      <c r="M60" s="16" t="n"/>
      <c r="N60" s="62">
        <f>IFERROR(L60*M60/(1+M60),0)</f>
        <v/>
      </c>
      <c r="O60" s="62">
        <f>L60-N60</f>
        <v/>
      </c>
      <c r="P60" s="14" t="n"/>
      <c r="Q60" s="13">
        <f>IF(A60="","",IF(OR(L60&lt;=0,C60="",D60="",F60=""),"需检查",IF(AND(C60="支出",I60="未收票"),"缺发票","正常")))</f>
        <v/>
      </c>
    </row>
    <row r="61" ht="16.5" customHeight="1">
      <c r="A61" s="60" t="n"/>
      <c r="B61" s="13">
        <f>TEXT(A61,"yyyy-mm")</f>
        <v/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61" t="n"/>
      <c r="M61" s="16" t="n"/>
      <c r="N61" s="62">
        <f>IFERROR(L61*M61/(1+M61),0)</f>
        <v/>
      </c>
      <c r="O61" s="62">
        <f>L61-N61</f>
        <v/>
      </c>
      <c r="P61" s="14" t="n"/>
      <c r="Q61" s="13">
        <f>IF(A61="","",IF(OR(L61&lt;=0,C61="",D61="",F61=""),"需检查",IF(AND(C61="支出",I61="未收票"),"缺发票","正常")))</f>
        <v/>
      </c>
    </row>
    <row r="62" ht="16.5" customHeight="1">
      <c r="A62" s="60" t="n"/>
      <c r="B62" s="13">
        <f>TEXT(A62,"yyyy-mm")</f>
        <v/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61" t="n"/>
      <c r="M62" s="16" t="n"/>
      <c r="N62" s="62">
        <f>IFERROR(L62*M62/(1+M62),0)</f>
        <v/>
      </c>
      <c r="O62" s="62">
        <f>L62-N62</f>
        <v/>
      </c>
      <c r="P62" s="14" t="n"/>
      <c r="Q62" s="13">
        <f>IF(A62="","",IF(OR(L62&lt;=0,C62="",D62="",F62=""),"需检查",IF(AND(C62="支出",I62="未收票"),"缺发票","正常")))</f>
        <v/>
      </c>
    </row>
    <row r="63" ht="16.5" customHeight="1">
      <c r="A63" s="60" t="n"/>
      <c r="B63" s="13">
        <f>TEXT(A63,"yyyy-mm")</f>
        <v/>
      </c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61" t="n"/>
      <c r="M63" s="16" t="n"/>
      <c r="N63" s="62">
        <f>IFERROR(L63*M63/(1+M63),0)</f>
        <v/>
      </c>
      <c r="O63" s="62">
        <f>L63-N63</f>
        <v/>
      </c>
      <c r="P63" s="14" t="n"/>
      <c r="Q63" s="13">
        <f>IF(A63="","",IF(OR(L63&lt;=0,C63="",D63="",F63=""),"需检查",IF(AND(C63="支出",I63="未收票"),"缺发票","正常")))</f>
        <v/>
      </c>
    </row>
    <row r="64" ht="16.5" customHeight="1">
      <c r="A64" s="60" t="n"/>
      <c r="B64" s="13">
        <f>TEXT(A64,"yyyy-mm")</f>
        <v/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61" t="n"/>
      <c r="M64" s="16" t="n"/>
      <c r="N64" s="62">
        <f>IFERROR(L64*M64/(1+M64),0)</f>
        <v/>
      </c>
      <c r="O64" s="62">
        <f>L64-N64</f>
        <v/>
      </c>
      <c r="P64" s="14" t="n"/>
      <c r="Q64" s="13">
        <f>IF(A64="","",IF(OR(L64&lt;=0,C64="",D64="",F64=""),"需检查",IF(AND(C64="支出",I64="未收票"),"缺发票","正常")))</f>
        <v/>
      </c>
    </row>
    <row r="65" ht="16.5" customHeight="1">
      <c r="A65" s="60" t="n"/>
      <c r="B65" s="13">
        <f>TEXT(A65,"yyyy-mm")</f>
        <v/>
      </c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61" t="n"/>
      <c r="M65" s="16" t="n"/>
      <c r="N65" s="62">
        <f>IFERROR(L65*M65/(1+M65),0)</f>
        <v/>
      </c>
      <c r="O65" s="62">
        <f>L65-N65</f>
        <v/>
      </c>
      <c r="P65" s="14" t="n"/>
      <c r="Q65" s="13">
        <f>IF(A65="","",IF(OR(L65&lt;=0,C65="",D65="",F65=""),"需检查",IF(AND(C65="支出",I65="未收票"),"缺发票","正常")))</f>
        <v/>
      </c>
    </row>
    <row r="66" ht="16.5" customHeight="1">
      <c r="A66" s="60" t="n"/>
      <c r="B66" s="13">
        <f>TEXT(A66,"yyyy-mm")</f>
        <v/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61" t="n"/>
      <c r="M66" s="16" t="n"/>
      <c r="N66" s="62">
        <f>IFERROR(L66*M66/(1+M66),0)</f>
        <v/>
      </c>
      <c r="O66" s="62">
        <f>L66-N66</f>
        <v/>
      </c>
      <c r="P66" s="14" t="n"/>
      <c r="Q66" s="13">
        <f>IF(A66="","",IF(OR(L66&lt;=0,C66="",D66="",F66=""),"需检查",IF(AND(C66="支出",I66="未收票"),"缺发票","正常")))</f>
        <v/>
      </c>
    </row>
    <row r="67" ht="16.5" customHeight="1">
      <c r="A67" s="60" t="n"/>
      <c r="B67" s="13">
        <f>TEXT(A67,"yyyy-mm")</f>
        <v/>
      </c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61" t="n"/>
      <c r="M67" s="16" t="n"/>
      <c r="N67" s="62">
        <f>IFERROR(L67*M67/(1+M67),0)</f>
        <v/>
      </c>
      <c r="O67" s="62">
        <f>L67-N67</f>
        <v/>
      </c>
      <c r="P67" s="14" t="n"/>
      <c r="Q67" s="13">
        <f>IF(A67="","",IF(OR(L67&lt;=0,C67="",D67="",F67=""),"需检查",IF(AND(C67="支出",I67="未收票"),"缺发票","正常")))</f>
        <v/>
      </c>
    </row>
    <row r="68" ht="16.5" customHeight="1">
      <c r="A68" s="60" t="n"/>
      <c r="B68" s="13">
        <f>TEXT(A68,"yyyy-mm")</f>
        <v/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61" t="n"/>
      <c r="M68" s="16" t="n"/>
      <c r="N68" s="62">
        <f>IFERROR(L68*M68/(1+M68),0)</f>
        <v/>
      </c>
      <c r="O68" s="62">
        <f>L68-N68</f>
        <v/>
      </c>
      <c r="P68" s="14" t="n"/>
      <c r="Q68" s="13">
        <f>IF(A68="","",IF(OR(L68&lt;=0,C68="",D68="",F68=""),"需检查",IF(AND(C68="支出",I68="未收票"),"缺发票","正常")))</f>
        <v/>
      </c>
    </row>
    <row r="69" ht="16.5" customHeight="1">
      <c r="A69" s="60" t="n"/>
      <c r="B69" s="13">
        <f>TEXT(A69,"yyyy-mm")</f>
        <v/>
      </c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61" t="n"/>
      <c r="M69" s="16" t="n"/>
      <c r="N69" s="62">
        <f>IFERROR(L69*M69/(1+M69),0)</f>
        <v/>
      </c>
      <c r="O69" s="62">
        <f>L69-N69</f>
        <v/>
      </c>
      <c r="P69" s="14" t="n"/>
      <c r="Q69" s="13">
        <f>IF(A69="","",IF(OR(L69&lt;=0,C69="",D69="",F69=""),"需检查",IF(AND(C69="支出",I69="未收票"),"缺发票","正常")))</f>
        <v/>
      </c>
    </row>
    <row r="70" ht="16.5" customHeight="1">
      <c r="A70" s="60" t="n"/>
      <c r="B70" s="13">
        <f>TEXT(A70,"yyyy-mm")</f>
        <v/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61" t="n"/>
      <c r="M70" s="16" t="n"/>
      <c r="N70" s="62">
        <f>IFERROR(L70*M70/(1+M70),0)</f>
        <v/>
      </c>
      <c r="O70" s="62">
        <f>L70-N70</f>
        <v/>
      </c>
      <c r="P70" s="14" t="n"/>
      <c r="Q70" s="13">
        <f>IF(A70="","",IF(OR(L70&lt;=0,C70="",D70="",F70=""),"需检查",IF(AND(C70="支出",I70="未收票"),"缺发票","正常")))</f>
        <v/>
      </c>
    </row>
    <row r="71" ht="16.5" customHeight="1">
      <c r="A71" s="60" t="n"/>
      <c r="B71" s="13">
        <f>TEXT(A71,"yyyy-mm")</f>
        <v/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61" t="n"/>
      <c r="M71" s="16" t="n"/>
      <c r="N71" s="62">
        <f>IFERROR(L71*M71/(1+M71),0)</f>
        <v/>
      </c>
      <c r="O71" s="62">
        <f>L71-N71</f>
        <v/>
      </c>
      <c r="P71" s="14" t="n"/>
      <c r="Q71" s="13">
        <f>IF(A71="","",IF(OR(L71&lt;=0,C71="",D71="",F71=""),"需检查",IF(AND(C71="支出",I71="未收票"),"缺发票","正常")))</f>
        <v/>
      </c>
    </row>
    <row r="72" ht="16.5" customHeight="1">
      <c r="A72" s="60" t="n"/>
      <c r="B72" s="13">
        <f>TEXT(A72,"yyyy-mm")</f>
        <v/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61" t="n"/>
      <c r="M72" s="16" t="n"/>
      <c r="N72" s="62">
        <f>IFERROR(L72*M72/(1+M72),0)</f>
        <v/>
      </c>
      <c r="O72" s="62">
        <f>L72-N72</f>
        <v/>
      </c>
      <c r="P72" s="14" t="n"/>
      <c r="Q72" s="13">
        <f>IF(A72="","",IF(OR(L72&lt;=0,C72="",D72="",F72=""),"需检查",IF(AND(C72="支出",I72="未收票"),"缺发票","正常")))</f>
        <v/>
      </c>
    </row>
    <row r="73" ht="16.5" customHeight="1">
      <c r="A73" s="60" t="n"/>
      <c r="B73" s="13">
        <f>TEXT(A73,"yyyy-mm")</f>
        <v/>
      </c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61" t="n"/>
      <c r="M73" s="16" t="n"/>
      <c r="N73" s="62">
        <f>IFERROR(L73*M73/(1+M73),0)</f>
        <v/>
      </c>
      <c r="O73" s="62">
        <f>L73-N73</f>
        <v/>
      </c>
      <c r="P73" s="14" t="n"/>
      <c r="Q73" s="13">
        <f>IF(A73="","",IF(OR(L73&lt;=0,C73="",D73="",F73=""),"需检查",IF(AND(C73="支出",I73="未收票"),"缺发票","正常")))</f>
        <v/>
      </c>
    </row>
    <row r="74" ht="16.5" customHeight="1">
      <c r="A74" s="60" t="n"/>
      <c r="B74" s="13">
        <f>TEXT(A74,"yyyy-mm")</f>
        <v/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61" t="n"/>
      <c r="M74" s="16" t="n"/>
      <c r="N74" s="62">
        <f>IFERROR(L74*M74/(1+M74),0)</f>
        <v/>
      </c>
      <c r="O74" s="62">
        <f>L74-N74</f>
        <v/>
      </c>
      <c r="P74" s="14" t="n"/>
      <c r="Q74" s="13">
        <f>IF(A74="","",IF(OR(L74&lt;=0,C74="",D74="",F74=""),"需检查",IF(AND(C74="支出",I74="未收票"),"缺发票","正常")))</f>
        <v/>
      </c>
    </row>
    <row r="75" ht="16.5" customHeight="1">
      <c r="A75" s="60" t="n"/>
      <c r="B75" s="13">
        <f>TEXT(A75,"yyyy-mm")</f>
        <v/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61" t="n"/>
      <c r="M75" s="16" t="n"/>
      <c r="N75" s="62">
        <f>IFERROR(L75*M75/(1+M75),0)</f>
        <v/>
      </c>
      <c r="O75" s="62">
        <f>L75-N75</f>
        <v/>
      </c>
      <c r="P75" s="14" t="n"/>
      <c r="Q75" s="13">
        <f>IF(A75="","",IF(OR(L75&lt;=0,C75="",D75="",F75=""),"需检查",IF(AND(C75="支出",I75="未收票"),"缺发票","正常")))</f>
        <v/>
      </c>
    </row>
    <row r="76" ht="16.5" customHeight="1">
      <c r="A76" s="60" t="n"/>
      <c r="B76" s="13">
        <f>TEXT(A76,"yyyy-mm")</f>
        <v/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61" t="n"/>
      <c r="M76" s="16" t="n"/>
      <c r="N76" s="62">
        <f>IFERROR(L76*M76/(1+M76),0)</f>
        <v/>
      </c>
      <c r="O76" s="62">
        <f>L76-N76</f>
        <v/>
      </c>
      <c r="P76" s="14" t="n"/>
      <c r="Q76" s="13">
        <f>IF(A76="","",IF(OR(L76&lt;=0,C76="",D76="",F76=""),"需检查",IF(AND(C76="支出",I76="未收票"),"缺发票","正常")))</f>
        <v/>
      </c>
    </row>
    <row r="77" ht="16.5" customHeight="1">
      <c r="A77" s="60" t="n"/>
      <c r="B77" s="13">
        <f>TEXT(A77,"yyyy-mm")</f>
        <v/>
      </c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61" t="n"/>
      <c r="M77" s="16" t="n"/>
      <c r="N77" s="62">
        <f>IFERROR(L77*M77/(1+M77),0)</f>
        <v/>
      </c>
      <c r="O77" s="62">
        <f>L77-N77</f>
        <v/>
      </c>
      <c r="P77" s="14" t="n"/>
      <c r="Q77" s="13">
        <f>IF(A77="","",IF(OR(L77&lt;=0,C77="",D77="",F77=""),"需检查",IF(AND(C77="支出",I77="未收票"),"缺发票","正常")))</f>
        <v/>
      </c>
    </row>
    <row r="78" ht="16.5" customHeight="1">
      <c r="A78" s="60" t="n"/>
      <c r="B78" s="13">
        <f>TEXT(A78,"yyyy-mm")</f>
        <v/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61" t="n"/>
      <c r="M78" s="16" t="n"/>
      <c r="N78" s="62">
        <f>IFERROR(L78*M78/(1+M78),0)</f>
        <v/>
      </c>
      <c r="O78" s="62">
        <f>L78-N78</f>
        <v/>
      </c>
      <c r="P78" s="14" t="n"/>
      <c r="Q78" s="13">
        <f>IF(A78="","",IF(OR(L78&lt;=0,C78="",D78="",F78=""),"需检查",IF(AND(C78="支出",I78="未收票"),"缺发票","正常")))</f>
        <v/>
      </c>
    </row>
    <row r="79" ht="16.5" customHeight="1">
      <c r="A79" s="60" t="n"/>
      <c r="B79" s="13">
        <f>TEXT(A79,"yyyy-mm")</f>
        <v/>
      </c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61" t="n"/>
      <c r="M79" s="16" t="n"/>
      <c r="N79" s="62">
        <f>IFERROR(L79*M79/(1+M79),0)</f>
        <v/>
      </c>
      <c r="O79" s="62">
        <f>L79-N79</f>
        <v/>
      </c>
      <c r="P79" s="14" t="n"/>
      <c r="Q79" s="13">
        <f>IF(A79="","",IF(OR(L79&lt;=0,C79="",D79="",F79=""),"需检查",IF(AND(C79="支出",I79="未收票"),"缺发票","正常")))</f>
        <v/>
      </c>
    </row>
    <row r="80" ht="16.5" customHeight="1">
      <c r="A80" s="60" t="n"/>
      <c r="B80" s="13">
        <f>TEXT(A80,"yyyy-mm")</f>
        <v/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61" t="n"/>
      <c r="M80" s="16" t="n"/>
      <c r="N80" s="62">
        <f>IFERROR(L80*M80/(1+M80),0)</f>
        <v/>
      </c>
      <c r="O80" s="62">
        <f>L80-N80</f>
        <v/>
      </c>
      <c r="P80" s="14" t="n"/>
      <c r="Q80" s="13">
        <f>IF(A80="","",IF(OR(L80&lt;=0,C80="",D80="",F80=""),"需检查",IF(AND(C80="支出",I80="未收票"),"缺发票","正常")))</f>
        <v/>
      </c>
    </row>
    <row r="81" ht="16.5" customHeight="1">
      <c r="A81" s="60" t="n"/>
      <c r="B81" s="13">
        <f>TEXT(A81,"yyyy-mm")</f>
        <v/>
      </c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61" t="n"/>
      <c r="M81" s="16" t="n"/>
      <c r="N81" s="62">
        <f>IFERROR(L81*M81/(1+M81),0)</f>
        <v/>
      </c>
      <c r="O81" s="62">
        <f>L81-N81</f>
        <v/>
      </c>
      <c r="P81" s="14" t="n"/>
      <c r="Q81" s="13">
        <f>IF(A81="","",IF(OR(L81&lt;=0,C81="",D81="",F81=""),"需检查",IF(AND(C81="支出",I81="未收票"),"缺发票","正常")))</f>
        <v/>
      </c>
    </row>
    <row r="82" ht="16.5" customHeight="1">
      <c r="A82" s="60" t="n"/>
      <c r="B82" s="13">
        <f>TEXT(A82,"yyyy-mm")</f>
        <v/>
      </c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61" t="n"/>
      <c r="M82" s="16" t="n"/>
      <c r="N82" s="62">
        <f>IFERROR(L82*M82/(1+M82),0)</f>
        <v/>
      </c>
      <c r="O82" s="62">
        <f>L82-N82</f>
        <v/>
      </c>
      <c r="P82" s="14" t="n"/>
      <c r="Q82" s="13">
        <f>IF(A82="","",IF(OR(L82&lt;=0,C82="",D82="",F82=""),"需检查",IF(AND(C82="支出",I82="未收票"),"缺发票","正常")))</f>
        <v/>
      </c>
    </row>
    <row r="83" ht="16.5" customHeight="1">
      <c r="A83" s="60" t="n"/>
      <c r="B83" s="13">
        <f>TEXT(A83,"yyyy-mm")</f>
        <v/>
      </c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61" t="n"/>
      <c r="M83" s="16" t="n"/>
      <c r="N83" s="62">
        <f>IFERROR(L83*M83/(1+M83),0)</f>
        <v/>
      </c>
      <c r="O83" s="62">
        <f>L83-N83</f>
        <v/>
      </c>
      <c r="P83" s="14" t="n"/>
      <c r="Q83" s="13">
        <f>IF(A83="","",IF(OR(L83&lt;=0,C83="",D83="",F83=""),"需检查",IF(AND(C83="支出",I83="未收票"),"缺发票","正常")))</f>
        <v/>
      </c>
    </row>
    <row r="84" ht="16.5" customHeight="1">
      <c r="A84" s="60" t="n"/>
      <c r="B84" s="13">
        <f>TEXT(A84,"yyyy-mm")</f>
        <v/>
      </c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61" t="n"/>
      <c r="M84" s="16" t="n"/>
      <c r="N84" s="62">
        <f>IFERROR(L84*M84/(1+M84),0)</f>
        <v/>
      </c>
      <c r="O84" s="62">
        <f>L84-N84</f>
        <v/>
      </c>
      <c r="P84" s="14" t="n"/>
      <c r="Q84" s="13">
        <f>IF(A84="","",IF(OR(L84&lt;=0,C84="",D84="",F84=""),"需检查",IF(AND(C84="支出",I84="未收票"),"缺发票","正常")))</f>
        <v/>
      </c>
    </row>
    <row r="85" ht="16.5" customHeight="1">
      <c r="A85" s="60" t="n"/>
      <c r="B85" s="13">
        <f>TEXT(A85,"yyyy-mm")</f>
        <v/>
      </c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61" t="n"/>
      <c r="M85" s="16" t="n"/>
      <c r="N85" s="62">
        <f>IFERROR(L85*M85/(1+M85),0)</f>
        <v/>
      </c>
      <c r="O85" s="62">
        <f>L85-N85</f>
        <v/>
      </c>
      <c r="P85" s="14" t="n"/>
      <c r="Q85" s="13">
        <f>IF(A85="","",IF(OR(L85&lt;=0,C85="",D85="",F85=""),"需检查",IF(AND(C85="支出",I85="未收票"),"缺发票","正常")))</f>
        <v/>
      </c>
    </row>
    <row r="86" ht="16.5" customHeight="1">
      <c r="A86" s="60" t="n"/>
      <c r="B86" s="13">
        <f>TEXT(A86,"yyyy-mm")</f>
        <v/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61" t="n"/>
      <c r="M86" s="16" t="n"/>
      <c r="N86" s="62">
        <f>IFERROR(L86*M86/(1+M86),0)</f>
        <v/>
      </c>
      <c r="O86" s="62">
        <f>L86-N86</f>
        <v/>
      </c>
      <c r="P86" s="14" t="n"/>
      <c r="Q86" s="13">
        <f>IF(A86="","",IF(OR(L86&lt;=0,C86="",D86="",F86=""),"需检查",IF(AND(C86="支出",I86="未收票"),"缺发票","正常")))</f>
        <v/>
      </c>
    </row>
    <row r="87" ht="16.5" customHeight="1">
      <c r="A87" s="60" t="n"/>
      <c r="B87" s="13">
        <f>TEXT(A87,"yyyy-mm")</f>
        <v/>
      </c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61" t="n"/>
      <c r="M87" s="16" t="n"/>
      <c r="N87" s="62">
        <f>IFERROR(L87*M87/(1+M87),0)</f>
        <v/>
      </c>
      <c r="O87" s="62">
        <f>L87-N87</f>
        <v/>
      </c>
      <c r="P87" s="14" t="n"/>
      <c r="Q87" s="13">
        <f>IF(A87="","",IF(OR(L87&lt;=0,C87="",D87="",F87=""),"需检查",IF(AND(C87="支出",I87="未收票"),"缺发票","正常")))</f>
        <v/>
      </c>
    </row>
    <row r="88" ht="16.5" customHeight="1">
      <c r="A88" s="60" t="n"/>
      <c r="B88" s="13">
        <f>TEXT(A88,"yyyy-mm")</f>
        <v/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61" t="n"/>
      <c r="M88" s="16" t="n"/>
      <c r="N88" s="62">
        <f>IFERROR(L88*M88/(1+M88),0)</f>
        <v/>
      </c>
      <c r="O88" s="62">
        <f>L88-N88</f>
        <v/>
      </c>
      <c r="P88" s="14" t="n"/>
      <c r="Q88" s="13">
        <f>IF(A88="","",IF(OR(L88&lt;=0,C88="",D88="",F88=""),"需检查",IF(AND(C88="支出",I88="未收票"),"缺发票","正常")))</f>
        <v/>
      </c>
    </row>
    <row r="89" ht="16.5" customHeight="1">
      <c r="A89" s="60" t="n"/>
      <c r="B89" s="13">
        <f>TEXT(A89,"yyyy-mm")</f>
        <v/>
      </c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61" t="n"/>
      <c r="M89" s="16" t="n"/>
      <c r="N89" s="62">
        <f>IFERROR(L89*M89/(1+M89),0)</f>
        <v/>
      </c>
      <c r="O89" s="62">
        <f>L89-N89</f>
        <v/>
      </c>
      <c r="P89" s="14" t="n"/>
      <c r="Q89" s="13">
        <f>IF(A89="","",IF(OR(L89&lt;=0,C89="",D89="",F89=""),"需检查",IF(AND(C89="支出",I89="未收票"),"缺发票","正常")))</f>
        <v/>
      </c>
    </row>
    <row r="90" ht="16.5" customHeight="1">
      <c r="A90" s="60" t="n"/>
      <c r="B90" s="13">
        <f>TEXT(A90,"yyyy-mm")</f>
        <v/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61" t="n"/>
      <c r="M90" s="16" t="n"/>
      <c r="N90" s="62">
        <f>IFERROR(L90*M90/(1+M90),0)</f>
        <v/>
      </c>
      <c r="O90" s="62">
        <f>L90-N90</f>
        <v/>
      </c>
      <c r="P90" s="14" t="n"/>
      <c r="Q90" s="13">
        <f>IF(A90="","",IF(OR(L90&lt;=0,C90="",D90="",F90=""),"需检查",IF(AND(C90="支出",I90="未收票"),"缺发票","正常")))</f>
        <v/>
      </c>
    </row>
    <row r="91" ht="16.5" customHeight="1">
      <c r="A91" s="60" t="n"/>
      <c r="B91" s="13">
        <f>TEXT(A91,"yyyy-mm")</f>
        <v/>
      </c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61" t="n"/>
      <c r="M91" s="16" t="n"/>
      <c r="N91" s="62">
        <f>IFERROR(L91*M91/(1+M91),0)</f>
        <v/>
      </c>
      <c r="O91" s="62">
        <f>L91-N91</f>
        <v/>
      </c>
      <c r="P91" s="14" t="n"/>
      <c r="Q91" s="13">
        <f>IF(A91="","",IF(OR(L91&lt;=0,C91="",D91="",F91=""),"需检查",IF(AND(C91="支出",I91="未收票"),"缺发票","正常")))</f>
        <v/>
      </c>
    </row>
    <row r="92" ht="16.5" customHeight="1">
      <c r="A92" s="60" t="n"/>
      <c r="B92" s="13">
        <f>TEXT(A92,"yyyy-mm")</f>
        <v/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61" t="n"/>
      <c r="M92" s="16" t="n"/>
      <c r="N92" s="62">
        <f>IFERROR(L92*M92/(1+M92),0)</f>
        <v/>
      </c>
      <c r="O92" s="62">
        <f>L92-N92</f>
        <v/>
      </c>
      <c r="P92" s="14" t="n"/>
      <c r="Q92" s="13">
        <f>IF(A92="","",IF(OR(L92&lt;=0,C92="",D92="",F92=""),"需检查",IF(AND(C92="支出",I92="未收票"),"缺发票","正常")))</f>
        <v/>
      </c>
    </row>
    <row r="93" ht="16.5" customHeight="1">
      <c r="A93" s="60" t="n"/>
      <c r="B93" s="13">
        <f>TEXT(A93,"yyyy-mm")</f>
        <v/>
      </c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61" t="n"/>
      <c r="M93" s="16" t="n"/>
      <c r="N93" s="62">
        <f>IFERROR(L93*M93/(1+M93),0)</f>
        <v/>
      </c>
      <c r="O93" s="62">
        <f>L93-N93</f>
        <v/>
      </c>
      <c r="P93" s="14" t="n"/>
      <c r="Q93" s="13">
        <f>IF(A93="","",IF(OR(L93&lt;=0,C93="",D93="",F93=""),"需检查",IF(AND(C93="支出",I93="未收票"),"缺发票","正常")))</f>
        <v/>
      </c>
    </row>
    <row r="94" ht="16.5" customHeight="1">
      <c r="A94" s="60" t="n"/>
      <c r="B94" s="13">
        <f>TEXT(A94,"yyyy-mm")</f>
        <v/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61" t="n"/>
      <c r="M94" s="16" t="n"/>
      <c r="N94" s="62">
        <f>IFERROR(L94*M94/(1+M94),0)</f>
        <v/>
      </c>
      <c r="O94" s="62">
        <f>L94-N94</f>
        <v/>
      </c>
      <c r="P94" s="14" t="n"/>
      <c r="Q94" s="13">
        <f>IF(A94="","",IF(OR(L94&lt;=0,C94="",D94="",F94=""),"需检查",IF(AND(C94="支出",I94="未收票"),"缺发票","正常")))</f>
        <v/>
      </c>
    </row>
    <row r="95" ht="16.5" customHeight="1">
      <c r="A95" s="60" t="n"/>
      <c r="B95" s="13">
        <f>TEXT(A95,"yyyy-mm")</f>
        <v/>
      </c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61" t="n"/>
      <c r="M95" s="16" t="n"/>
      <c r="N95" s="62">
        <f>IFERROR(L95*M95/(1+M95),0)</f>
        <v/>
      </c>
      <c r="O95" s="62">
        <f>L95-N95</f>
        <v/>
      </c>
      <c r="P95" s="14" t="n"/>
      <c r="Q95" s="13">
        <f>IF(A95="","",IF(OR(L95&lt;=0,C95="",D95="",F95=""),"需检查",IF(AND(C95="支出",I95="未收票"),"缺发票","正常")))</f>
        <v/>
      </c>
    </row>
    <row r="96" ht="16.5" customHeight="1">
      <c r="A96" s="60" t="n"/>
      <c r="B96" s="13">
        <f>TEXT(A96,"yyyy-mm")</f>
        <v/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61" t="n"/>
      <c r="M96" s="16" t="n"/>
      <c r="N96" s="62">
        <f>IFERROR(L96*M96/(1+M96),0)</f>
        <v/>
      </c>
      <c r="O96" s="62">
        <f>L96-N96</f>
        <v/>
      </c>
      <c r="P96" s="14" t="n"/>
      <c r="Q96" s="13">
        <f>IF(A96="","",IF(OR(L96&lt;=0,C96="",D96="",F96=""),"需检查",IF(AND(C96="支出",I96="未收票"),"缺发票","正常")))</f>
        <v/>
      </c>
    </row>
    <row r="97" ht="16.5" customHeight="1">
      <c r="A97" s="60" t="n"/>
      <c r="B97" s="13">
        <f>TEXT(A97,"yyyy-mm")</f>
        <v/>
      </c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61" t="n"/>
      <c r="M97" s="16" t="n"/>
      <c r="N97" s="62">
        <f>IFERROR(L97*M97/(1+M97),0)</f>
        <v/>
      </c>
      <c r="O97" s="62">
        <f>L97-N97</f>
        <v/>
      </c>
      <c r="P97" s="14" t="n"/>
      <c r="Q97" s="13">
        <f>IF(A97="","",IF(OR(L97&lt;=0,C97="",D97="",F97=""),"需检查",IF(AND(C97="支出",I97="未收票"),"缺发票","正常")))</f>
        <v/>
      </c>
    </row>
    <row r="98" ht="16.5" customHeight="1">
      <c r="A98" s="60" t="n"/>
      <c r="B98" s="13">
        <f>TEXT(A98,"yyyy-mm")</f>
        <v/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61" t="n"/>
      <c r="M98" s="16" t="n"/>
      <c r="N98" s="62">
        <f>IFERROR(L98*M98/(1+M98),0)</f>
        <v/>
      </c>
      <c r="O98" s="62">
        <f>L98-N98</f>
        <v/>
      </c>
      <c r="P98" s="14" t="n"/>
      <c r="Q98" s="13">
        <f>IF(A98="","",IF(OR(L98&lt;=0,C98="",D98="",F98=""),"需检查",IF(AND(C98="支出",I98="未收票"),"缺发票","正常")))</f>
        <v/>
      </c>
    </row>
    <row r="99" ht="16.5" customHeight="1">
      <c r="A99" s="60" t="n"/>
      <c r="B99" s="13">
        <f>TEXT(A99,"yyyy-mm")</f>
        <v/>
      </c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61" t="n"/>
      <c r="M99" s="16" t="n"/>
      <c r="N99" s="62">
        <f>IFERROR(L99*M99/(1+M99),0)</f>
        <v/>
      </c>
      <c r="O99" s="62">
        <f>L99-N99</f>
        <v/>
      </c>
      <c r="P99" s="14" t="n"/>
      <c r="Q99" s="13">
        <f>IF(A99="","",IF(OR(L99&lt;=0,C99="",D99="",F99=""),"需检查",IF(AND(C99="支出",I99="未收票"),"缺发票","正常")))</f>
        <v/>
      </c>
    </row>
    <row r="100" ht="16.5" customHeight="1">
      <c r="A100" s="60" t="n"/>
      <c r="B100" s="13">
        <f>TEXT(A100,"yyyy-mm")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61" t="n"/>
      <c r="M100" s="16" t="n"/>
      <c r="N100" s="62">
        <f>IFERROR(L100*M100/(1+M100),0)</f>
        <v/>
      </c>
      <c r="O100" s="62">
        <f>L100-N100</f>
        <v/>
      </c>
      <c r="P100" s="14" t="n"/>
      <c r="Q100" s="13">
        <f>IF(A100="","",IF(OR(L100&lt;=0,C100="",D100="",F100=""),"需检查",IF(AND(C100="支出",I100="未收票"),"缺发票","正常")))</f>
        <v/>
      </c>
    </row>
    <row r="101" ht="16.5" customHeight="1">
      <c r="A101" s="60" t="n"/>
      <c r="B101" s="13">
        <f>TEXT(A101,"yyyy-mm")</f>
        <v/>
      </c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61" t="n"/>
      <c r="M101" s="16" t="n"/>
      <c r="N101" s="62">
        <f>IFERROR(L101*M101/(1+M101),0)</f>
        <v/>
      </c>
      <c r="O101" s="62">
        <f>L101-N101</f>
        <v/>
      </c>
      <c r="P101" s="14" t="n"/>
      <c r="Q101" s="13">
        <f>IF(A101="","",IF(OR(L101&lt;=0,C101="",D101="",F101=""),"需检查",IF(AND(C101="支出",I101="未收票"),"缺发票","正常")))</f>
        <v/>
      </c>
    </row>
    <row r="102" ht="16.5" customHeight="1">
      <c r="A102" s="60" t="n"/>
      <c r="B102" s="13">
        <f>TEXT(A102,"yyyy-mm")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61" t="n"/>
      <c r="M102" s="16" t="n"/>
      <c r="N102" s="62">
        <f>IFERROR(L102*M102/(1+M102),0)</f>
        <v/>
      </c>
      <c r="O102" s="62">
        <f>L102-N102</f>
        <v/>
      </c>
      <c r="P102" s="14" t="n"/>
      <c r="Q102" s="13">
        <f>IF(A102="","",IF(OR(L102&lt;=0,C102="",D102="",F102=""),"需检查",IF(AND(C102="支出",I102="未收票"),"缺发票","正常")))</f>
        <v/>
      </c>
    </row>
    <row r="103" ht="16.5" customHeight="1">
      <c r="A103" s="60" t="n"/>
      <c r="B103" s="13">
        <f>TEXT(A103,"yyyy-mm")</f>
        <v/>
      </c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61" t="n"/>
      <c r="M103" s="16" t="n"/>
      <c r="N103" s="62">
        <f>IFERROR(L103*M103/(1+M103),0)</f>
        <v/>
      </c>
      <c r="O103" s="62">
        <f>L103-N103</f>
        <v/>
      </c>
      <c r="P103" s="14" t="n"/>
      <c r="Q103" s="13">
        <f>IF(A103="","",IF(OR(L103&lt;=0,C103="",D103="",F103=""),"需检查",IF(AND(C103="支出",I103="未收票"),"缺发票","正常")))</f>
        <v/>
      </c>
    </row>
    <row r="104" ht="16.5" customHeight="1">
      <c r="A104" s="60" t="n"/>
      <c r="B104" s="13">
        <f>TEXT(A104,"yyyy-mm")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61" t="n"/>
      <c r="M104" s="16" t="n"/>
      <c r="N104" s="62">
        <f>IFERROR(L104*M104/(1+M104),0)</f>
        <v/>
      </c>
      <c r="O104" s="62">
        <f>L104-N104</f>
        <v/>
      </c>
      <c r="P104" s="14" t="n"/>
      <c r="Q104" s="13">
        <f>IF(A104="","",IF(OR(L104&lt;=0,C104="",D104="",F104=""),"需检查",IF(AND(C104="支出",I104="未收票"),"缺发票","正常")))</f>
        <v/>
      </c>
    </row>
    <row r="105" ht="16.5" customHeight="1">
      <c r="A105" s="60" t="n"/>
      <c r="B105" s="13">
        <f>TEXT(A105,"yyyy-mm")</f>
        <v/>
      </c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61" t="n"/>
      <c r="M105" s="16" t="n"/>
      <c r="N105" s="62">
        <f>IFERROR(L105*M105/(1+M105),0)</f>
        <v/>
      </c>
      <c r="O105" s="62">
        <f>L105-N105</f>
        <v/>
      </c>
      <c r="P105" s="14" t="n"/>
      <c r="Q105" s="13">
        <f>IF(A105="","",IF(OR(L105&lt;=0,C105="",D105="",F105=""),"需检查",IF(AND(C105="支出",I105="未收票"),"缺发票","正常")))</f>
        <v/>
      </c>
    </row>
    <row r="106" ht="16.5" customHeight="1">
      <c r="A106" s="60" t="n"/>
      <c r="B106" s="13">
        <f>TEXT(A106,"yyyy-mm")</f>
        <v/>
      </c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61" t="n"/>
      <c r="M106" s="16" t="n"/>
      <c r="N106" s="62">
        <f>IFERROR(L106*M106/(1+M106),0)</f>
        <v/>
      </c>
      <c r="O106" s="62">
        <f>L106-N106</f>
        <v/>
      </c>
      <c r="P106" s="14" t="n"/>
      <c r="Q106" s="13">
        <f>IF(A106="","",IF(OR(L106&lt;=0,C106="",D106="",F106=""),"需检查",IF(AND(C106="支出",I106="未收票"),"缺发票","正常")))</f>
        <v/>
      </c>
    </row>
    <row r="107" ht="16.5" customHeight="1">
      <c r="A107" s="60" t="n"/>
      <c r="B107" s="13">
        <f>TEXT(A107,"yyyy-mm")</f>
        <v/>
      </c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61" t="n"/>
      <c r="M107" s="16" t="n"/>
      <c r="N107" s="62">
        <f>IFERROR(L107*M107/(1+M107),0)</f>
        <v/>
      </c>
      <c r="O107" s="62">
        <f>L107-N107</f>
        <v/>
      </c>
      <c r="P107" s="14" t="n"/>
      <c r="Q107" s="13">
        <f>IF(A107="","",IF(OR(L107&lt;=0,C107="",D107="",F107=""),"需检查",IF(AND(C107="支出",I107="未收票"),"缺发票","正常")))</f>
        <v/>
      </c>
    </row>
    <row r="108" ht="16.5" customHeight="1">
      <c r="A108" s="60" t="n"/>
      <c r="B108" s="13">
        <f>TEXT(A108,"yyyy-mm")</f>
        <v/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61" t="n"/>
      <c r="M108" s="16" t="n"/>
      <c r="N108" s="62">
        <f>IFERROR(L108*M108/(1+M108),0)</f>
        <v/>
      </c>
      <c r="O108" s="62">
        <f>L108-N108</f>
        <v/>
      </c>
      <c r="P108" s="14" t="n"/>
      <c r="Q108" s="13">
        <f>IF(A108="","",IF(OR(L108&lt;=0,C108="",D108="",F108=""),"需检查",IF(AND(C108="支出",I108="未收票"),"缺发票","正常")))</f>
        <v/>
      </c>
    </row>
    <row r="109" ht="16.5" customHeight="1">
      <c r="A109" s="60" t="n"/>
      <c r="B109" s="13">
        <f>TEXT(A109,"yyyy-mm")</f>
        <v/>
      </c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61" t="n"/>
      <c r="M109" s="16" t="n"/>
      <c r="N109" s="62">
        <f>IFERROR(L109*M109/(1+M109),0)</f>
        <v/>
      </c>
      <c r="O109" s="62">
        <f>L109-N109</f>
        <v/>
      </c>
      <c r="P109" s="14" t="n"/>
      <c r="Q109" s="13">
        <f>IF(A109="","",IF(OR(L109&lt;=0,C109="",D109="",F109=""),"需检查",IF(AND(C109="支出",I109="未收票"),"缺发票","正常")))</f>
        <v/>
      </c>
    </row>
    <row r="110" ht="16.5" customHeight="1">
      <c r="A110" s="60" t="n"/>
      <c r="B110" s="13">
        <f>TEXT(A110,"yyyy-mm")</f>
        <v/>
      </c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61" t="n"/>
      <c r="M110" s="16" t="n"/>
      <c r="N110" s="62">
        <f>IFERROR(L110*M110/(1+M110),0)</f>
        <v/>
      </c>
      <c r="O110" s="62">
        <f>L110-N110</f>
        <v/>
      </c>
      <c r="P110" s="14" t="n"/>
      <c r="Q110" s="13">
        <f>IF(A110="","",IF(OR(L110&lt;=0,C110="",D110="",F110=""),"需检查",IF(AND(C110="支出",I110="未收票"),"缺发票","正常")))</f>
        <v/>
      </c>
    </row>
    <row r="111" ht="16.5" customHeight="1">
      <c r="A111" s="60" t="n"/>
      <c r="B111" s="13">
        <f>TEXT(A111,"yyyy-mm")</f>
        <v/>
      </c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61" t="n"/>
      <c r="M111" s="16" t="n"/>
      <c r="N111" s="62">
        <f>IFERROR(L111*M111/(1+M111),0)</f>
        <v/>
      </c>
      <c r="O111" s="62">
        <f>L111-N111</f>
        <v/>
      </c>
      <c r="P111" s="14" t="n"/>
      <c r="Q111" s="13">
        <f>IF(A111="","",IF(OR(L111&lt;=0,C111="",D111="",F111=""),"需检查",IF(AND(C111="支出",I111="未收票"),"缺发票","正常")))</f>
        <v/>
      </c>
    </row>
    <row r="112" ht="16.5" customHeight="1">
      <c r="A112" s="60" t="n"/>
      <c r="B112" s="13">
        <f>TEXT(A112,"yyyy-mm")</f>
        <v/>
      </c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61" t="n"/>
      <c r="M112" s="16" t="n"/>
      <c r="N112" s="62">
        <f>IFERROR(L112*M112/(1+M112),0)</f>
        <v/>
      </c>
      <c r="O112" s="62">
        <f>L112-N112</f>
        <v/>
      </c>
      <c r="P112" s="14" t="n"/>
      <c r="Q112" s="13">
        <f>IF(A112="","",IF(OR(L112&lt;=0,C112="",D112="",F112=""),"需检查",IF(AND(C112="支出",I112="未收票"),"缺发票","正常")))</f>
        <v/>
      </c>
    </row>
    <row r="113" ht="16.5" customHeight="1">
      <c r="A113" s="60" t="n"/>
      <c r="B113" s="13">
        <f>TEXT(A113,"yyyy-mm")</f>
        <v/>
      </c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61" t="n"/>
      <c r="M113" s="16" t="n"/>
      <c r="N113" s="62">
        <f>IFERROR(L113*M113/(1+M113),0)</f>
        <v/>
      </c>
      <c r="O113" s="62">
        <f>L113-N113</f>
        <v/>
      </c>
      <c r="P113" s="14" t="n"/>
      <c r="Q113" s="13">
        <f>IF(A113="","",IF(OR(L113&lt;=0,C113="",D113="",F113=""),"需检查",IF(AND(C113="支出",I113="未收票"),"缺发票","正常")))</f>
        <v/>
      </c>
    </row>
    <row r="114" ht="16.5" customHeight="1">
      <c r="A114" s="60" t="n"/>
      <c r="B114" s="13">
        <f>TEXT(A114,"yyyy-mm")</f>
        <v/>
      </c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61" t="n"/>
      <c r="M114" s="16" t="n"/>
      <c r="N114" s="62">
        <f>IFERROR(L114*M114/(1+M114),0)</f>
        <v/>
      </c>
      <c r="O114" s="62">
        <f>L114-N114</f>
        <v/>
      </c>
      <c r="P114" s="14" t="n"/>
      <c r="Q114" s="13">
        <f>IF(A114="","",IF(OR(L114&lt;=0,C114="",D114="",F114=""),"需检查",IF(AND(C114="支出",I114="未收票"),"缺发票","正常")))</f>
        <v/>
      </c>
    </row>
    <row r="115" ht="16.5" customHeight="1">
      <c r="A115" s="60" t="n"/>
      <c r="B115" s="13">
        <f>TEXT(A115,"yyyy-mm")</f>
        <v/>
      </c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61" t="n"/>
      <c r="M115" s="16" t="n"/>
      <c r="N115" s="62">
        <f>IFERROR(L115*M115/(1+M115),0)</f>
        <v/>
      </c>
      <c r="O115" s="62">
        <f>L115-N115</f>
        <v/>
      </c>
      <c r="P115" s="14" t="n"/>
      <c r="Q115" s="13">
        <f>IF(A115="","",IF(OR(L115&lt;=0,C115="",D115="",F115=""),"需检查",IF(AND(C115="支出",I115="未收票"),"缺发票","正常")))</f>
        <v/>
      </c>
    </row>
    <row r="116" ht="16.5" customHeight="1">
      <c r="A116" s="60" t="n"/>
      <c r="B116" s="13">
        <f>TEXT(A116,"yyyy-mm")</f>
        <v/>
      </c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61" t="n"/>
      <c r="M116" s="16" t="n"/>
      <c r="N116" s="62">
        <f>IFERROR(L116*M116/(1+M116),0)</f>
        <v/>
      </c>
      <c r="O116" s="62">
        <f>L116-N116</f>
        <v/>
      </c>
      <c r="P116" s="14" t="n"/>
      <c r="Q116" s="13">
        <f>IF(A116="","",IF(OR(L116&lt;=0,C116="",D116="",F116=""),"需检查",IF(AND(C116="支出",I116="未收票"),"缺发票","正常")))</f>
        <v/>
      </c>
    </row>
    <row r="117" ht="16.5" customHeight="1">
      <c r="A117" s="60" t="n"/>
      <c r="B117" s="13">
        <f>TEXT(A117,"yyyy-mm")</f>
        <v/>
      </c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61" t="n"/>
      <c r="M117" s="16" t="n"/>
      <c r="N117" s="62">
        <f>IFERROR(L117*M117/(1+M117),0)</f>
        <v/>
      </c>
      <c r="O117" s="62">
        <f>L117-N117</f>
        <v/>
      </c>
      <c r="P117" s="14" t="n"/>
      <c r="Q117" s="13">
        <f>IF(A117="","",IF(OR(L117&lt;=0,C117="",D117="",F117=""),"需检查",IF(AND(C117="支出",I117="未收票"),"缺发票","正常")))</f>
        <v/>
      </c>
    </row>
    <row r="118" ht="16.5" customHeight="1">
      <c r="A118" s="60" t="n"/>
      <c r="B118" s="13">
        <f>TEXT(A118,"yyyy-mm")</f>
        <v/>
      </c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61" t="n"/>
      <c r="M118" s="16" t="n"/>
      <c r="N118" s="62">
        <f>IFERROR(L118*M118/(1+M118),0)</f>
        <v/>
      </c>
      <c r="O118" s="62">
        <f>L118-N118</f>
        <v/>
      </c>
      <c r="P118" s="14" t="n"/>
      <c r="Q118" s="13">
        <f>IF(A118="","",IF(OR(L118&lt;=0,C118="",D118="",F118=""),"需检查",IF(AND(C118="支出",I118="未收票"),"缺发票","正常")))</f>
        <v/>
      </c>
    </row>
    <row r="119" ht="16.5" customHeight="1">
      <c r="A119" s="60" t="n"/>
      <c r="B119" s="13">
        <f>TEXT(A119,"yyyy-mm")</f>
        <v/>
      </c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61" t="n"/>
      <c r="M119" s="16" t="n"/>
      <c r="N119" s="62">
        <f>IFERROR(L119*M119/(1+M119),0)</f>
        <v/>
      </c>
      <c r="O119" s="62">
        <f>L119-N119</f>
        <v/>
      </c>
      <c r="P119" s="14" t="n"/>
      <c r="Q119" s="13">
        <f>IF(A119="","",IF(OR(L119&lt;=0,C119="",D119="",F119=""),"需检查",IF(AND(C119="支出",I119="未收票"),"缺发票","正常")))</f>
        <v/>
      </c>
    </row>
    <row r="120" ht="16.5" customHeight="1">
      <c r="A120" s="60" t="n"/>
      <c r="B120" s="13">
        <f>TEXT(A120,"yyyy-mm")</f>
        <v/>
      </c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61" t="n"/>
      <c r="M120" s="16" t="n"/>
      <c r="N120" s="62">
        <f>IFERROR(L120*M120/(1+M120),0)</f>
        <v/>
      </c>
      <c r="O120" s="62">
        <f>L120-N120</f>
        <v/>
      </c>
      <c r="P120" s="14" t="n"/>
      <c r="Q120" s="13">
        <f>IF(A120="","",IF(OR(L120&lt;=0,C120="",D120="",F120=""),"需检查",IF(AND(C120="支出",I120="未收票"),"缺发票","正常")))</f>
        <v/>
      </c>
    </row>
    <row r="121" ht="16.5" customHeight="1">
      <c r="A121" s="60" t="n"/>
      <c r="B121" s="13">
        <f>TEXT(A121,"yyyy-mm")</f>
        <v/>
      </c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61" t="n"/>
      <c r="M121" s="16" t="n"/>
      <c r="N121" s="62">
        <f>IFERROR(L121*M121/(1+M121),0)</f>
        <v/>
      </c>
      <c r="O121" s="62">
        <f>L121-N121</f>
        <v/>
      </c>
      <c r="P121" s="14" t="n"/>
      <c r="Q121" s="13">
        <f>IF(A121="","",IF(OR(L121&lt;=0,C121="",D121="",F121=""),"需检查",IF(AND(C121="支出",I121="未收票"),"缺发票","正常")))</f>
        <v/>
      </c>
    </row>
    <row r="122" ht="16.5" customHeight="1">
      <c r="A122" s="60" t="n"/>
      <c r="B122" s="13">
        <f>TEXT(A122,"yyyy-mm")</f>
        <v/>
      </c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61" t="n"/>
      <c r="M122" s="16" t="n"/>
      <c r="N122" s="62">
        <f>IFERROR(L122*M122/(1+M122),0)</f>
        <v/>
      </c>
      <c r="O122" s="62">
        <f>L122-N122</f>
        <v/>
      </c>
      <c r="P122" s="14" t="n"/>
      <c r="Q122" s="13">
        <f>IF(A122="","",IF(OR(L122&lt;=0,C122="",D122="",F122=""),"需检查",IF(AND(C122="支出",I122="未收票"),"缺发票","正常")))</f>
        <v/>
      </c>
    </row>
    <row r="123" ht="16.5" customHeight="1">
      <c r="A123" s="60" t="n"/>
      <c r="B123" s="13">
        <f>TEXT(A123,"yyyy-mm")</f>
        <v/>
      </c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61" t="n"/>
      <c r="M123" s="16" t="n"/>
      <c r="N123" s="62">
        <f>IFERROR(L123*M123/(1+M123),0)</f>
        <v/>
      </c>
      <c r="O123" s="62">
        <f>L123-N123</f>
        <v/>
      </c>
      <c r="P123" s="14" t="n"/>
      <c r="Q123" s="13">
        <f>IF(A123="","",IF(OR(L123&lt;=0,C123="",D123="",F123=""),"需检查",IF(AND(C123="支出",I123="未收票"),"缺发票","正常")))</f>
        <v/>
      </c>
    </row>
    <row r="124" ht="16.5" customHeight="1">
      <c r="A124" s="60" t="n"/>
      <c r="B124" s="13">
        <f>TEXT(A124,"yyyy-mm")</f>
        <v/>
      </c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61" t="n"/>
      <c r="M124" s="16" t="n"/>
      <c r="N124" s="62">
        <f>IFERROR(L124*M124/(1+M124),0)</f>
        <v/>
      </c>
      <c r="O124" s="62">
        <f>L124-N124</f>
        <v/>
      </c>
      <c r="P124" s="14" t="n"/>
      <c r="Q124" s="13">
        <f>IF(A124="","",IF(OR(L124&lt;=0,C124="",D124="",F124=""),"需检查",IF(AND(C124="支出",I124="未收票"),"缺发票","正常")))</f>
        <v/>
      </c>
    </row>
    <row r="125" ht="16.5" customHeight="1">
      <c r="A125" s="60" t="n"/>
      <c r="B125" s="13">
        <f>TEXT(A125,"yyyy-mm")</f>
        <v/>
      </c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61" t="n"/>
      <c r="M125" s="16" t="n"/>
      <c r="N125" s="62">
        <f>IFERROR(L125*M125/(1+M125),0)</f>
        <v/>
      </c>
      <c r="O125" s="62">
        <f>L125-N125</f>
        <v/>
      </c>
      <c r="P125" s="14" t="n"/>
      <c r="Q125" s="13">
        <f>IF(A125="","",IF(OR(L125&lt;=0,C125="",D125="",F125=""),"需检查",IF(AND(C125="支出",I125="未收票"),"缺发票","正常")))</f>
        <v/>
      </c>
    </row>
    <row r="126" ht="16.5" customHeight="1">
      <c r="A126" s="60" t="n"/>
      <c r="B126" s="13">
        <f>TEXT(A126,"yyyy-mm")</f>
        <v/>
      </c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61" t="n"/>
      <c r="M126" s="16" t="n"/>
      <c r="N126" s="62">
        <f>IFERROR(L126*M126/(1+M126),0)</f>
        <v/>
      </c>
      <c r="O126" s="62">
        <f>L126-N126</f>
        <v/>
      </c>
      <c r="P126" s="14" t="n"/>
      <c r="Q126" s="13">
        <f>IF(A126="","",IF(OR(L126&lt;=0,C126="",D126="",F126=""),"需检查",IF(AND(C126="支出",I126="未收票"),"缺发票","正常")))</f>
        <v/>
      </c>
    </row>
    <row r="127" ht="16.5" customHeight="1">
      <c r="A127" s="60" t="n"/>
      <c r="B127" s="13">
        <f>TEXT(A127,"yyyy-mm")</f>
        <v/>
      </c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61" t="n"/>
      <c r="M127" s="16" t="n"/>
      <c r="N127" s="62">
        <f>IFERROR(L127*M127/(1+M127),0)</f>
        <v/>
      </c>
      <c r="O127" s="62">
        <f>L127-N127</f>
        <v/>
      </c>
      <c r="P127" s="14" t="n"/>
      <c r="Q127" s="13">
        <f>IF(A127="","",IF(OR(L127&lt;=0,C127="",D127="",F127=""),"需检查",IF(AND(C127="支出",I127="未收票"),"缺发票","正常")))</f>
        <v/>
      </c>
    </row>
    <row r="128" ht="16.5" customHeight="1">
      <c r="A128" s="60" t="n"/>
      <c r="B128" s="13">
        <f>TEXT(A128,"yyyy-mm")</f>
        <v/>
      </c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61" t="n"/>
      <c r="M128" s="16" t="n"/>
      <c r="N128" s="62">
        <f>IFERROR(L128*M128/(1+M128),0)</f>
        <v/>
      </c>
      <c r="O128" s="62">
        <f>L128-N128</f>
        <v/>
      </c>
      <c r="P128" s="14" t="n"/>
      <c r="Q128" s="13">
        <f>IF(A128="","",IF(OR(L128&lt;=0,C128="",D128="",F128=""),"需检查",IF(AND(C128="支出",I128="未收票"),"缺发票","正常")))</f>
        <v/>
      </c>
    </row>
    <row r="129" ht="16.5" customHeight="1">
      <c r="A129" s="60" t="n"/>
      <c r="B129" s="13">
        <f>TEXT(A129,"yyyy-mm")</f>
        <v/>
      </c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61" t="n"/>
      <c r="M129" s="16" t="n"/>
      <c r="N129" s="62">
        <f>IFERROR(L129*M129/(1+M129),0)</f>
        <v/>
      </c>
      <c r="O129" s="62">
        <f>L129-N129</f>
        <v/>
      </c>
      <c r="P129" s="14" t="n"/>
      <c r="Q129" s="13">
        <f>IF(A129="","",IF(OR(L129&lt;=0,C129="",D129="",F129=""),"需检查",IF(AND(C129="支出",I129="未收票"),"缺发票","正常")))</f>
        <v/>
      </c>
    </row>
    <row r="130" ht="16.5" customHeight="1">
      <c r="A130" s="60" t="n"/>
      <c r="B130" s="13">
        <f>TEXT(A130,"yyyy-mm")</f>
        <v/>
      </c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61" t="n"/>
      <c r="M130" s="16" t="n"/>
      <c r="N130" s="62">
        <f>IFERROR(L130*M130/(1+M130),0)</f>
        <v/>
      </c>
      <c r="O130" s="62">
        <f>L130-N130</f>
        <v/>
      </c>
      <c r="P130" s="14" t="n"/>
      <c r="Q130" s="13">
        <f>IF(A130="","",IF(OR(L130&lt;=0,C130="",D130="",F130=""),"需检查",IF(AND(C130="支出",I130="未收票"),"缺发票","正常")))</f>
        <v/>
      </c>
    </row>
    <row r="131" ht="16.5" customHeight="1">
      <c r="A131" s="60" t="n"/>
      <c r="B131" s="13">
        <f>TEXT(A131,"yyyy-mm")</f>
        <v/>
      </c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61" t="n"/>
      <c r="M131" s="16" t="n"/>
      <c r="N131" s="62">
        <f>IFERROR(L131*M131/(1+M131),0)</f>
        <v/>
      </c>
      <c r="O131" s="62">
        <f>L131-N131</f>
        <v/>
      </c>
      <c r="P131" s="14" t="n"/>
      <c r="Q131" s="13">
        <f>IF(A131="","",IF(OR(L131&lt;=0,C131="",D131="",F131=""),"需检查",IF(AND(C131="支出",I131="未收票"),"缺发票","正常")))</f>
        <v/>
      </c>
    </row>
    <row r="132" ht="16.5" customHeight="1">
      <c r="A132" s="60" t="n"/>
      <c r="B132" s="13">
        <f>TEXT(A132,"yyyy-mm")</f>
        <v/>
      </c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61" t="n"/>
      <c r="M132" s="16" t="n"/>
      <c r="N132" s="62">
        <f>IFERROR(L132*M132/(1+M132),0)</f>
        <v/>
      </c>
      <c r="O132" s="62">
        <f>L132-N132</f>
        <v/>
      </c>
      <c r="P132" s="14" t="n"/>
      <c r="Q132" s="13">
        <f>IF(A132="","",IF(OR(L132&lt;=0,C132="",D132="",F132=""),"需检查",IF(AND(C132="支出",I132="未收票"),"缺发票","正常")))</f>
        <v/>
      </c>
    </row>
    <row r="133" ht="16.5" customHeight="1">
      <c r="A133" s="60" t="n"/>
      <c r="B133" s="13">
        <f>TEXT(A133,"yyyy-mm")</f>
        <v/>
      </c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61" t="n"/>
      <c r="M133" s="16" t="n"/>
      <c r="N133" s="62">
        <f>IFERROR(L133*M133/(1+M133),0)</f>
        <v/>
      </c>
      <c r="O133" s="62">
        <f>L133-N133</f>
        <v/>
      </c>
      <c r="P133" s="14" t="n"/>
      <c r="Q133" s="13">
        <f>IF(A133="","",IF(OR(L133&lt;=0,C133="",D133="",F133=""),"需检查",IF(AND(C133="支出",I133="未收票"),"缺发票","正常")))</f>
        <v/>
      </c>
    </row>
    <row r="134" ht="16.5" customHeight="1">
      <c r="A134" s="60" t="n"/>
      <c r="B134" s="13">
        <f>TEXT(A134,"yyyy-mm")</f>
        <v/>
      </c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61" t="n"/>
      <c r="M134" s="16" t="n"/>
      <c r="N134" s="62">
        <f>IFERROR(L134*M134/(1+M134),0)</f>
        <v/>
      </c>
      <c r="O134" s="62">
        <f>L134-N134</f>
        <v/>
      </c>
      <c r="P134" s="14" t="n"/>
      <c r="Q134" s="13">
        <f>IF(A134="","",IF(OR(L134&lt;=0,C134="",D134="",F134=""),"需检查",IF(AND(C134="支出",I134="未收票"),"缺发票","正常")))</f>
        <v/>
      </c>
    </row>
    <row r="135" ht="16.5" customHeight="1">
      <c r="A135" s="60" t="n"/>
      <c r="B135" s="13">
        <f>TEXT(A135,"yyyy-mm")</f>
        <v/>
      </c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61" t="n"/>
      <c r="M135" s="16" t="n"/>
      <c r="N135" s="62">
        <f>IFERROR(L135*M135/(1+M135),0)</f>
        <v/>
      </c>
      <c r="O135" s="62">
        <f>L135-N135</f>
        <v/>
      </c>
      <c r="P135" s="14" t="n"/>
      <c r="Q135" s="13">
        <f>IF(A135="","",IF(OR(L135&lt;=0,C135="",D135="",F135=""),"需检查",IF(AND(C135="支出",I135="未收票"),"缺发票","正常")))</f>
        <v/>
      </c>
    </row>
    <row r="136" ht="16.5" customHeight="1">
      <c r="A136" s="60" t="n"/>
      <c r="B136" s="13">
        <f>TEXT(A136,"yyyy-mm")</f>
        <v/>
      </c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61" t="n"/>
      <c r="M136" s="16" t="n"/>
      <c r="N136" s="62">
        <f>IFERROR(L136*M136/(1+M136),0)</f>
        <v/>
      </c>
      <c r="O136" s="62">
        <f>L136-N136</f>
        <v/>
      </c>
      <c r="P136" s="14" t="n"/>
      <c r="Q136" s="13">
        <f>IF(A136="","",IF(OR(L136&lt;=0,C136="",D136="",F136=""),"需检查",IF(AND(C136="支出",I136="未收票"),"缺发票","正常")))</f>
        <v/>
      </c>
    </row>
    <row r="137" ht="16.5" customHeight="1">
      <c r="A137" s="60" t="n"/>
      <c r="B137" s="13">
        <f>TEXT(A137,"yyyy-mm")</f>
        <v/>
      </c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61" t="n"/>
      <c r="M137" s="16" t="n"/>
      <c r="N137" s="62">
        <f>IFERROR(L137*M137/(1+M137),0)</f>
        <v/>
      </c>
      <c r="O137" s="62">
        <f>L137-N137</f>
        <v/>
      </c>
      <c r="P137" s="14" t="n"/>
      <c r="Q137" s="13">
        <f>IF(A137="","",IF(OR(L137&lt;=0,C137="",D137="",F137=""),"需检查",IF(AND(C137="支出",I137="未收票"),"缺发票","正常")))</f>
        <v/>
      </c>
    </row>
    <row r="138" ht="16.5" customHeight="1">
      <c r="A138" s="60" t="n"/>
      <c r="B138" s="13">
        <f>TEXT(A138,"yyyy-mm")</f>
        <v/>
      </c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61" t="n"/>
      <c r="M138" s="16" t="n"/>
      <c r="N138" s="62">
        <f>IFERROR(L138*M138/(1+M138),0)</f>
        <v/>
      </c>
      <c r="O138" s="62">
        <f>L138-N138</f>
        <v/>
      </c>
      <c r="P138" s="14" t="n"/>
      <c r="Q138" s="13">
        <f>IF(A138="","",IF(OR(L138&lt;=0,C138="",D138="",F138=""),"需检查",IF(AND(C138="支出",I138="未收票"),"缺发票","正常")))</f>
        <v/>
      </c>
    </row>
    <row r="139" ht="16.5" customHeight="1">
      <c r="A139" s="60" t="n"/>
      <c r="B139" s="13">
        <f>TEXT(A139,"yyyy-mm")</f>
        <v/>
      </c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61" t="n"/>
      <c r="M139" s="16" t="n"/>
      <c r="N139" s="62">
        <f>IFERROR(L139*M139/(1+M139),0)</f>
        <v/>
      </c>
      <c r="O139" s="62">
        <f>L139-N139</f>
        <v/>
      </c>
      <c r="P139" s="14" t="n"/>
      <c r="Q139" s="13">
        <f>IF(A139="","",IF(OR(L139&lt;=0,C139="",D139="",F139=""),"需检查",IF(AND(C139="支出",I139="未收票"),"缺发票","正常")))</f>
        <v/>
      </c>
    </row>
    <row r="140" ht="16.5" customHeight="1">
      <c r="A140" s="60" t="n"/>
      <c r="B140" s="13">
        <f>TEXT(A140,"yyyy-mm")</f>
        <v/>
      </c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61" t="n"/>
      <c r="M140" s="16" t="n"/>
      <c r="N140" s="62">
        <f>IFERROR(L140*M140/(1+M140),0)</f>
        <v/>
      </c>
      <c r="O140" s="62">
        <f>L140-N140</f>
        <v/>
      </c>
      <c r="P140" s="14" t="n"/>
      <c r="Q140" s="13">
        <f>IF(A140="","",IF(OR(L140&lt;=0,C140="",D140="",F140=""),"需检查",IF(AND(C140="支出",I140="未收票"),"缺发票","正常")))</f>
        <v/>
      </c>
    </row>
    <row r="141" ht="16.5" customHeight="1">
      <c r="A141" s="60" t="n"/>
      <c r="B141" s="13">
        <f>TEXT(A141,"yyyy-mm")</f>
        <v/>
      </c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61" t="n"/>
      <c r="M141" s="16" t="n"/>
      <c r="N141" s="62">
        <f>IFERROR(L141*M141/(1+M141),0)</f>
        <v/>
      </c>
      <c r="O141" s="62">
        <f>L141-N141</f>
        <v/>
      </c>
      <c r="P141" s="14" t="n"/>
      <c r="Q141" s="13">
        <f>IF(A141="","",IF(OR(L141&lt;=0,C141="",D141="",F141=""),"需检查",IF(AND(C141="支出",I141="未收票"),"缺发票","正常")))</f>
        <v/>
      </c>
    </row>
    <row r="142" ht="16.5" customHeight="1">
      <c r="A142" s="60" t="n"/>
      <c r="B142" s="13">
        <f>TEXT(A142,"yyyy-mm")</f>
        <v/>
      </c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61" t="n"/>
      <c r="M142" s="16" t="n"/>
      <c r="N142" s="62">
        <f>IFERROR(L142*M142/(1+M142),0)</f>
        <v/>
      </c>
      <c r="O142" s="62">
        <f>L142-N142</f>
        <v/>
      </c>
      <c r="P142" s="14" t="n"/>
      <c r="Q142" s="13">
        <f>IF(A142="","",IF(OR(L142&lt;=0,C142="",D142="",F142=""),"需检查",IF(AND(C142="支出",I142="未收票"),"缺发票","正常")))</f>
        <v/>
      </c>
    </row>
    <row r="143" ht="16.5" customHeight="1">
      <c r="A143" s="60" t="n"/>
      <c r="B143" s="13">
        <f>TEXT(A143,"yyyy-mm")</f>
        <v/>
      </c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61" t="n"/>
      <c r="M143" s="16" t="n"/>
      <c r="N143" s="62">
        <f>IFERROR(L143*M143/(1+M143),0)</f>
        <v/>
      </c>
      <c r="O143" s="62">
        <f>L143-N143</f>
        <v/>
      </c>
      <c r="P143" s="14" t="n"/>
      <c r="Q143" s="13">
        <f>IF(A143="","",IF(OR(L143&lt;=0,C143="",D143="",F143=""),"需检查",IF(AND(C143="支出",I143="未收票"),"缺发票","正常")))</f>
        <v/>
      </c>
    </row>
    <row r="144" ht="16.5" customHeight="1">
      <c r="A144" s="60" t="n"/>
      <c r="B144" s="13">
        <f>TEXT(A144,"yyyy-mm")</f>
        <v/>
      </c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61" t="n"/>
      <c r="M144" s="16" t="n"/>
      <c r="N144" s="62">
        <f>IFERROR(L144*M144/(1+M144),0)</f>
        <v/>
      </c>
      <c r="O144" s="62">
        <f>L144-N144</f>
        <v/>
      </c>
      <c r="P144" s="14" t="n"/>
      <c r="Q144" s="13">
        <f>IF(A144="","",IF(OR(L144&lt;=0,C144="",D144="",F144=""),"需检查",IF(AND(C144="支出",I144="未收票"),"缺发票","正常")))</f>
        <v/>
      </c>
    </row>
    <row r="145" ht="16.5" customHeight="1">
      <c r="A145" s="60" t="n"/>
      <c r="B145" s="13">
        <f>TEXT(A145,"yyyy-mm")</f>
        <v/>
      </c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61" t="n"/>
      <c r="M145" s="16" t="n"/>
      <c r="N145" s="62">
        <f>IFERROR(L145*M145/(1+M145),0)</f>
        <v/>
      </c>
      <c r="O145" s="62">
        <f>L145-N145</f>
        <v/>
      </c>
      <c r="P145" s="14" t="n"/>
      <c r="Q145" s="13">
        <f>IF(A145="","",IF(OR(L145&lt;=0,C145="",D145="",F145=""),"需检查",IF(AND(C145="支出",I145="未收票"),"缺发票","正常")))</f>
        <v/>
      </c>
    </row>
    <row r="146" ht="16.5" customHeight="1">
      <c r="A146" s="60" t="n"/>
      <c r="B146" s="13">
        <f>TEXT(A146,"yyyy-mm")</f>
        <v/>
      </c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61" t="n"/>
      <c r="M146" s="16" t="n"/>
      <c r="N146" s="62">
        <f>IFERROR(L146*M146/(1+M146),0)</f>
        <v/>
      </c>
      <c r="O146" s="62">
        <f>L146-N146</f>
        <v/>
      </c>
      <c r="P146" s="14" t="n"/>
      <c r="Q146" s="13">
        <f>IF(A146="","",IF(OR(L146&lt;=0,C146="",D146="",F146=""),"需检查",IF(AND(C146="支出",I146="未收票"),"缺发票","正常")))</f>
        <v/>
      </c>
    </row>
    <row r="147" ht="16.5" customHeight="1">
      <c r="A147" s="60" t="n"/>
      <c r="B147" s="13">
        <f>TEXT(A147,"yyyy-mm")</f>
        <v/>
      </c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61" t="n"/>
      <c r="M147" s="16" t="n"/>
      <c r="N147" s="62">
        <f>IFERROR(L147*M147/(1+M147),0)</f>
        <v/>
      </c>
      <c r="O147" s="62">
        <f>L147-N147</f>
        <v/>
      </c>
      <c r="P147" s="14" t="n"/>
      <c r="Q147" s="13">
        <f>IF(A147="","",IF(OR(L147&lt;=0,C147="",D147="",F147=""),"需检查",IF(AND(C147="支出",I147="未收票"),"缺发票","正常")))</f>
        <v/>
      </c>
    </row>
    <row r="148" ht="16.5" customHeight="1">
      <c r="A148" s="60" t="n"/>
      <c r="B148" s="13">
        <f>TEXT(A148,"yyyy-mm")</f>
        <v/>
      </c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61" t="n"/>
      <c r="M148" s="16" t="n"/>
      <c r="N148" s="62">
        <f>IFERROR(L148*M148/(1+M148),0)</f>
        <v/>
      </c>
      <c r="O148" s="62">
        <f>L148-N148</f>
        <v/>
      </c>
      <c r="P148" s="14" t="n"/>
      <c r="Q148" s="13">
        <f>IF(A148="","",IF(OR(L148&lt;=0,C148="",D148="",F148=""),"需检查",IF(AND(C148="支出",I148="未收票"),"缺发票","正常")))</f>
        <v/>
      </c>
    </row>
    <row r="149" ht="16.5" customHeight="1">
      <c r="A149" s="60" t="n"/>
      <c r="B149" s="13">
        <f>TEXT(A149,"yyyy-mm")</f>
        <v/>
      </c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61" t="n"/>
      <c r="M149" s="16" t="n"/>
      <c r="N149" s="62">
        <f>IFERROR(L149*M149/(1+M149),0)</f>
        <v/>
      </c>
      <c r="O149" s="62">
        <f>L149-N149</f>
        <v/>
      </c>
      <c r="P149" s="14" t="n"/>
      <c r="Q149" s="13">
        <f>IF(A149="","",IF(OR(L149&lt;=0,C149="",D149="",F149=""),"需检查",IF(AND(C149="支出",I149="未收票"),"缺发票","正常")))</f>
        <v/>
      </c>
    </row>
    <row r="150" ht="16.5" customHeight="1">
      <c r="A150" s="60" t="n"/>
      <c r="B150" s="13">
        <f>TEXT(A150,"yyyy-mm")</f>
        <v/>
      </c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61" t="n"/>
      <c r="M150" s="16" t="n"/>
      <c r="N150" s="62">
        <f>IFERROR(L150*M150/(1+M150),0)</f>
        <v/>
      </c>
      <c r="O150" s="62">
        <f>L150-N150</f>
        <v/>
      </c>
      <c r="P150" s="14" t="n"/>
      <c r="Q150" s="13">
        <f>IF(A150="","",IF(OR(L150&lt;=0,C150="",D150="",F150=""),"需检查",IF(AND(C150="支出",I150="未收票"),"缺发票","正常")))</f>
        <v/>
      </c>
    </row>
    <row r="151" ht="16.5" customHeight="1">
      <c r="A151" s="60" t="n"/>
      <c r="B151" s="13">
        <f>TEXT(A151,"yyyy-mm")</f>
        <v/>
      </c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61" t="n"/>
      <c r="M151" s="16" t="n"/>
      <c r="N151" s="62">
        <f>IFERROR(L151*M151/(1+M151),0)</f>
        <v/>
      </c>
      <c r="O151" s="62">
        <f>L151-N151</f>
        <v/>
      </c>
      <c r="P151" s="14" t="n"/>
      <c r="Q151" s="13">
        <f>IF(A151="","",IF(OR(L151&lt;=0,C151="",D151="",F151=""),"需检查",IF(AND(C151="支出",I151="未收票"),"缺发票","正常")))</f>
        <v/>
      </c>
    </row>
    <row r="152" ht="16.5" customHeight="1">
      <c r="A152" s="60" t="n"/>
      <c r="B152" s="13">
        <f>TEXT(A152,"yyyy-mm")</f>
        <v/>
      </c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61" t="n"/>
      <c r="M152" s="16" t="n"/>
      <c r="N152" s="62">
        <f>IFERROR(L152*M152/(1+M152),0)</f>
        <v/>
      </c>
      <c r="O152" s="62">
        <f>L152-N152</f>
        <v/>
      </c>
      <c r="P152" s="14" t="n"/>
      <c r="Q152" s="13">
        <f>IF(A152="","",IF(OR(L152&lt;=0,C152="",D152="",F152=""),"需检查",IF(AND(C152="支出",I152="未收票"),"缺发票","正常")))</f>
        <v/>
      </c>
    </row>
    <row r="153" ht="16.5" customHeight="1">
      <c r="A153" s="60" t="n"/>
      <c r="B153" s="13">
        <f>TEXT(A153,"yyyy-mm")</f>
        <v/>
      </c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61" t="n"/>
      <c r="M153" s="16" t="n"/>
      <c r="N153" s="62">
        <f>IFERROR(L153*M153/(1+M153),0)</f>
        <v/>
      </c>
      <c r="O153" s="62">
        <f>L153-N153</f>
        <v/>
      </c>
      <c r="P153" s="14" t="n"/>
      <c r="Q153" s="13">
        <f>IF(A153="","",IF(OR(L153&lt;=0,C153="",D153="",F153=""),"需检查",IF(AND(C153="支出",I153="未收票"),"缺发票","正常")))</f>
        <v/>
      </c>
    </row>
    <row r="154" ht="16.5" customHeight="1">
      <c r="A154" s="60" t="n"/>
      <c r="B154" s="13">
        <f>TEXT(A154,"yyyy-mm")</f>
        <v/>
      </c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61" t="n"/>
      <c r="M154" s="16" t="n"/>
      <c r="N154" s="62">
        <f>IFERROR(L154*M154/(1+M154),0)</f>
        <v/>
      </c>
      <c r="O154" s="62">
        <f>L154-N154</f>
        <v/>
      </c>
      <c r="P154" s="14" t="n"/>
      <c r="Q154" s="13">
        <f>IF(A154="","",IF(OR(L154&lt;=0,C154="",D154="",F154=""),"需检查",IF(AND(C154="支出",I154="未收票"),"缺发票","正常")))</f>
        <v/>
      </c>
    </row>
    <row r="155" ht="16.5" customHeight="1">
      <c r="A155" s="60" t="n"/>
      <c r="B155" s="13">
        <f>TEXT(A155,"yyyy-mm")</f>
        <v/>
      </c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61" t="n"/>
      <c r="M155" s="16" t="n"/>
      <c r="N155" s="62">
        <f>IFERROR(L155*M155/(1+M155),0)</f>
        <v/>
      </c>
      <c r="O155" s="62">
        <f>L155-N155</f>
        <v/>
      </c>
      <c r="P155" s="14" t="n"/>
      <c r="Q155" s="13">
        <f>IF(A155="","",IF(OR(L155&lt;=0,C155="",D155="",F155=""),"需检查",IF(AND(C155="支出",I155="未收票"),"缺发票","正常")))</f>
        <v/>
      </c>
    </row>
    <row r="156" ht="16.5" customHeight="1">
      <c r="A156" s="60" t="n"/>
      <c r="B156" s="13">
        <f>TEXT(A156,"yyyy-mm")</f>
        <v/>
      </c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61" t="n"/>
      <c r="M156" s="16" t="n"/>
      <c r="N156" s="62">
        <f>IFERROR(L156*M156/(1+M156),0)</f>
        <v/>
      </c>
      <c r="O156" s="62">
        <f>L156-N156</f>
        <v/>
      </c>
      <c r="P156" s="14" t="n"/>
      <c r="Q156" s="13">
        <f>IF(A156="","",IF(OR(L156&lt;=0,C156="",D156="",F156=""),"需检查",IF(AND(C156="支出",I156="未收票"),"缺发票","正常")))</f>
        <v/>
      </c>
    </row>
    <row r="157" ht="16.5" customHeight="1">
      <c r="A157" s="60" t="n"/>
      <c r="B157" s="13">
        <f>TEXT(A157,"yyyy-mm")</f>
        <v/>
      </c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61" t="n"/>
      <c r="M157" s="16" t="n"/>
      <c r="N157" s="62">
        <f>IFERROR(L157*M157/(1+M157),0)</f>
        <v/>
      </c>
      <c r="O157" s="62">
        <f>L157-N157</f>
        <v/>
      </c>
      <c r="P157" s="14" t="n"/>
      <c r="Q157" s="13">
        <f>IF(A157="","",IF(OR(L157&lt;=0,C157="",D157="",F157=""),"需检查",IF(AND(C157="支出",I157="未收票"),"缺发票","正常")))</f>
        <v/>
      </c>
    </row>
    <row r="158" ht="16.5" customHeight="1">
      <c r="A158" s="60" t="n"/>
      <c r="B158" s="13">
        <f>TEXT(A158,"yyyy-mm")</f>
        <v/>
      </c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61" t="n"/>
      <c r="M158" s="16" t="n"/>
      <c r="N158" s="62">
        <f>IFERROR(L158*M158/(1+M158),0)</f>
        <v/>
      </c>
      <c r="O158" s="62">
        <f>L158-N158</f>
        <v/>
      </c>
      <c r="P158" s="14" t="n"/>
      <c r="Q158" s="13">
        <f>IF(A158="","",IF(OR(L158&lt;=0,C158="",D158="",F158=""),"需检查",IF(AND(C158="支出",I158="未收票"),"缺发票","正常")))</f>
        <v/>
      </c>
    </row>
    <row r="159" ht="16.5" customHeight="1">
      <c r="A159" s="60" t="n"/>
      <c r="B159" s="13">
        <f>TEXT(A159,"yyyy-mm")</f>
        <v/>
      </c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61" t="n"/>
      <c r="M159" s="16" t="n"/>
      <c r="N159" s="62">
        <f>IFERROR(L159*M159/(1+M159),0)</f>
        <v/>
      </c>
      <c r="O159" s="62">
        <f>L159-N159</f>
        <v/>
      </c>
      <c r="P159" s="14" t="n"/>
      <c r="Q159" s="13">
        <f>IF(A159="","",IF(OR(L159&lt;=0,C159="",D159="",F159=""),"需检查",IF(AND(C159="支出",I159="未收票"),"缺发票","正常")))</f>
        <v/>
      </c>
    </row>
    <row r="160" ht="16.5" customHeight="1">
      <c r="A160" s="60" t="n"/>
      <c r="B160" s="13">
        <f>TEXT(A160,"yyyy-mm")</f>
        <v/>
      </c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61" t="n"/>
      <c r="M160" s="16" t="n"/>
      <c r="N160" s="62">
        <f>IFERROR(L160*M160/(1+M160),0)</f>
        <v/>
      </c>
      <c r="O160" s="62">
        <f>L160-N160</f>
        <v/>
      </c>
      <c r="P160" s="14" t="n"/>
      <c r="Q160" s="13">
        <f>IF(A160="","",IF(OR(L160&lt;=0,C160="",D160="",F160=""),"需检查",IF(AND(C160="支出",I160="未收票"),"缺发票","正常")))</f>
        <v/>
      </c>
    </row>
    <row r="161" ht="16.5" customHeight="1">
      <c r="A161" s="60" t="n"/>
      <c r="B161" s="13">
        <f>TEXT(A161,"yyyy-mm")</f>
        <v/>
      </c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61" t="n"/>
      <c r="M161" s="16" t="n"/>
      <c r="N161" s="62">
        <f>IFERROR(L161*M161/(1+M161),0)</f>
        <v/>
      </c>
      <c r="O161" s="62">
        <f>L161-N161</f>
        <v/>
      </c>
      <c r="P161" s="14" t="n"/>
      <c r="Q161" s="13">
        <f>IF(A161="","",IF(OR(L161&lt;=0,C161="",D161="",F161=""),"需检查",IF(AND(C161="支出",I161="未收票"),"缺发票","正常")))</f>
        <v/>
      </c>
    </row>
    <row r="162" ht="16.5" customHeight="1">
      <c r="A162" s="60" t="n"/>
      <c r="B162" s="13">
        <f>TEXT(A162,"yyyy-mm")</f>
        <v/>
      </c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61" t="n"/>
      <c r="M162" s="16" t="n"/>
      <c r="N162" s="62">
        <f>IFERROR(L162*M162/(1+M162),0)</f>
        <v/>
      </c>
      <c r="O162" s="62">
        <f>L162-N162</f>
        <v/>
      </c>
      <c r="P162" s="14" t="n"/>
      <c r="Q162" s="13">
        <f>IF(A162="","",IF(OR(L162&lt;=0,C162="",D162="",F162=""),"需检查",IF(AND(C162="支出",I162="未收票"),"缺发票","正常")))</f>
        <v/>
      </c>
    </row>
    <row r="163" ht="16.5" customHeight="1">
      <c r="A163" s="60" t="n"/>
      <c r="B163" s="13">
        <f>TEXT(A163,"yyyy-mm")</f>
        <v/>
      </c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61" t="n"/>
      <c r="M163" s="16" t="n"/>
      <c r="N163" s="62">
        <f>IFERROR(L163*M163/(1+M163),0)</f>
        <v/>
      </c>
      <c r="O163" s="62">
        <f>L163-N163</f>
        <v/>
      </c>
      <c r="P163" s="14" t="n"/>
      <c r="Q163" s="13">
        <f>IF(A163="","",IF(OR(L163&lt;=0,C163="",D163="",F163=""),"需检查",IF(AND(C163="支出",I163="未收票"),"缺发票","正常")))</f>
        <v/>
      </c>
    </row>
    <row r="164" ht="16.5" customHeight="1">
      <c r="A164" s="60" t="n"/>
      <c r="B164" s="13">
        <f>TEXT(A164,"yyyy-mm")</f>
        <v/>
      </c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61" t="n"/>
      <c r="M164" s="16" t="n"/>
      <c r="N164" s="62">
        <f>IFERROR(L164*M164/(1+M164),0)</f>
        <v/>
      </c>
      <c r="O164" s="62">
        <f>L164-N164</f>
        <v/>
      </c>
      <c r="P164" s="14" t="n"/>
      <c r="Q164" s="13">
        <f>IF(A164="","",IF(OR(L164&lt;=0,C164="",D164="",F164=""),"需检查",IF(AND(C164="支出",I164="未收票"),"缺发票","正常")))</f>
        <v/>
      </c>
    </row>
    <row r="165" ht="16.5" customHeight="1">
      <c r="A165" s="60" t="n"/>
      <c r="B165" s="13">
        <f>TEXT(A165,"yyyy-mm")</f>
        <v/>
      </c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61" t="n"/>
      <c r="M165" s="16" t="n"/>
      <c r="N165" s="62">
        <f>IFERROR(L165*M165/(1+M165),0)</f>
        <v/>
      </c>
      <c r="O165" s="62">
        <f>L165-N165</f>
        <v/>
      </c>
      <c r="P165" s="14" t="n"/>
      <c r="Q165" s="13">
        <f>IF(A165="","",IF(OR(L165&lt;=0,C165="",D165="",F165=""),"需检查",IF(AND(C165="支出",I165="未收票"),"缺发票","正常")))</f>
        <v/>
      </c>
    </row>
    <row r="166" ht="16.5" customHeight="1">
      <c r="A166" s="60" t="n"/>
      <c r="B166" s="13">
        <f>TEXT(A166,"yyyy-mm")</f>
        <v/>
      </c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61" t="n"/>
      <c r="M166" s="16" t="n"/>
      <c r="N166" s="62">
        <f>IFERROR(L166*M166/(1+M166),0)</f>
        <v/>
      </c>
      <c r="O166" s="62">
        <f>L166-N166</f>
        <v/>
      </c>
      <c r="P166" s="14" t="n"/>
      <c r="Q166" s="13">
        <f>IF(A166="","",IF(OR(L166&lt;=0,C166="",D166="",F166=""),"需检查",IF(AND(C166="支出",I166="未收票"),"缺发票","正常")))</f>
        <v/>
      </c>
    </row>
    <row r="167" ht="16.5" customHeight="1">
      <c r="A167" s="60" t="n"/>
      <c r="B167" s="13">
        <f>TEXT(A167,"yyyy-mm")</f>
        <v/>
      </c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61" t="n"/>
      <c r="M167" s="16" t="n"/>
      <c r="N167" s="62">
        <f>IFERROR(L167*M167/(1+M167),0)</f>
        <v/>
      </c>
      <c r="O167" s="62">
        <f>L167-N167</f>
        <v/>
      </c>
      <c r="P167" s="14" t="n"/>
      <c r="Q167" s="13">
        <f>IF(A167="","",IF(OR(L167&lt;=0,C167="",D167="",F167=""),"需检查",IF(AND(C167="支出",I167="未收票"),"缺发票","正常")))</f>
        <v/>
      </c>
    </row>
    <row r="168" ht="16.5" customHeight="1">
      <c r="A168" s="60" t="n"/>
      <c r="B168" s="13">
        <f>TEXT(A168,"yyyy-mm")</f>
        <v/>
      </c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61" t="n"/>
      <c r="M168" s="16" t="n"/>
      <c r="N168" s="62">
        <f>IFERROR(L168*M168/(1+M168),0)</f>
        <v/>
      </c>
      <c r="O168" s="62">
        <f>L168-N168</f>
        <v/>
      </c>
      <c r="P168" s="14" t="n"/>
      <c r="Q168" s="13">
        <f>IF(A168="","",IF(OR(L168&lt;=0,C168="",D168="",F168=""),"需检查",IF(AND(C168="支出",I168="未收票"),"缺发票","正常")))</f>
        <v/>
      </c>
    </row>
    <row r="169" ht="16.5" customHeight="1">
      <c r="A169" s="60" t="n"/>
      <c r="B169" s="13">
        <f>TEXT(A169,"yyyy-mm")</f>
        <v/>
      </c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61" t="n"/>
      <c r="M169" s="16" t="n"/>
      <c r="N169" s="62">
        <f>IFERROR(L169*M169/(1+M169),0)</f>
        <v/>
      </c>
      <c r="O169" s="62">
        <f>L169-N169</f>
        <v/>
      </c>
      <c r="P169" s="14" t="n"/>
      <c r="Q169" s="13">
        <f>IF(A169="","",IF(OR(L169&lt;=0,C169="",D169="",F169=""),"需检查",IF(AND(C169="支出",I169="未收票"),"缺发票","正常")))</f>
        <v/>
      </c>
    </row>
    <row r="170" ht="16.5" customHeight="1">
      <c r="A170" s="60" t="n"/>
      <c r="B170" s="13">
        <f>TEXT(A170,"yyyy-mm")</f>
        <v/>
      </c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61" t="n"/>
      <c r="M170" s="16" t="n"/>
      <c r="N170" s="62">
        <f>IFERROR(L170*M170/(1+M170),0)</f>
        <v/>
      </c>
      <c r="O170" s="62">
        <f>L170-N170</f>
        <v/>
      </c>
      <c r="P170" s="14" t="n"/>
      <c r="Q170" s="13">
        <f>IF(A170="","",IF(OR(L170&lt;=0,C170="",D170="",F170=""),"需检查",IF(AND(C170="支出",I170="未收票"),"缺发票","正常")))</f>
        <v/>
      </c>
    </row>
    <row r="171" ht="16.5" customHeight="1">
      <c r="A171" s="60" t="n"/>
      <c r="B171" s="13">
        <f>TEXT(A171,"yyyy-mm")</f>
        <v/>
      </c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61" t="n"/>
      <c r="M171" s="16" t="n"/>
      <c r="N171" s="62">
        <f>IFERROR(L171*M171/(1+M171),0)</f>
        <v/>
      </c>
      <c r="O171" s="62">
        <f>L171-N171</f>
        <v/>
      </c>
      <c r="P171" s="14" t="n"/>
      <c r="Q171" s="13">
        <f>IF(A171="","",IF(OR(L171&lt;=0,C171="",D171="",F171=""),"需检查",IF(AND(C171="支出",I171="未收票"),"缺发票","正常")))</f>
        <v/>
      </c>
    </row>
    <row r="172" ht="16.5" customHeight="1">
      <c r="A172" s="60" t="n"/>
      <c r="B172" s="13">
        <f>TEXT(A172,"yyyy-mm")</f>
        <v/>
      </c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61" t="n"/>
      <c r="M172" s="16" t="n"/>
      <c r="N172" s="62">
        <f>IFERROR(L172*M172/(1+M172),0)</f>
        <v/>
      </c>
      <c r="O172" s="62">
        <f>L172-N172</f>
        <v/>
      </c>
      <c r="P172" s="14" t="n"/>
      <c r="Q172" s="13">
        <f>IF(A172="","",IF(OR(L172&lt;=0,C172="",D172="",F172=""),"需检查",IF(AND(C172="支出",I172="未收票"),"缺发票","正常")))</f>
        <v/>
      </c>
    </row>
    <row r="173" ht="16.5" customHeight="1">
      <c r="A173" s="60" t="n"/>
      <c r="B173" s="13">
        <f>TEXT(A173,"yyyy-mm")</f>
        <v/>
      </c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61" t="n"/>
      <c r="M173" s="16" t="n"/>
      <c r="N173" s="62">
        <f>IFERROR(L173*M173/(1+M173),0)</f>
        <v/>
      </c>
      <c r="O173" s="62">
        <f>L173-N173</f>
        <v/>
      </c>
      <c r="P173" s="14" t="n"/>
      <c r="Q173" s="13">
        <f>IF(A173="","",IF(OR(L173&lt;=0,C173="",D173="",F173=""),"需检查",IF(AND(C173="支出",I173="未收票"),"缺发票","正常")))</f>
        <v/>
      </c>
    </row>
    <row r="174" ht="16.5" customHeight="1">
      <c r="A174" s="60" t="n"/>
      <c r="B174" s="13">
        <f>TEXT(A174,"yyyy-mm")</f>
        <v/>
      </c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61" t="n"/>
      <c r="M174" s="16" t="n"/>
      <c r="N174" s="62">
        <f>IFERROR(L174*M174/(1+M174),0)</f>
        <v/>
      </c>
      <c r="O174" s="62">
        <f>L174-N174</f>
        <v/>
      </c>
      <c r="P174" s="14" t="n"/>
      <c r="Q174" s="13">
        <f>IF(A174="","",IF(OR(L174&lt;=0,C174="",D174="",F174=""),"需检查",IF(AND(C174="支出",I174="未收票"),"缺发票","正常")))</f>
        <v/>
      </c>
    </row>
    <row r="175" ht="16.5" customHeight="1">
      <c r="A175" s="60" t="n"/>
      <c r="B175" s="13">
        <f>TEXT(A175,"yyyy-mm")</f>
        <v/>
      </c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61" t="n"/>
      <c r="M175" s="16" t="n"/>
      <c r="N175" s="62">
        <f>IFERROR(L175*M175/(1+M175),0)</f>
        <v/>
      </c>
      <c r="O175" s="62">
        <f>L175-N175</f>
        <v/>
      </c>
      <c r="P175" s="14" t="n"/>
      <c r="Q175" s="13">
        <f>IF(A175="","",IF(OR(L175&lt;=0,C175="",D175="",F175=""),"需检查",IF(AND(C175="支出",I175="未收票"),"缺发票","正常")))</f>
        <v/>
      </c>
    </row>
    <row r="176" ht="16.5" customHeight="1">
      <c r="A176" s="60" t="n"/>
      <c r="B176" s="13">
        <f>TEXT(A176,"yyyy-mm")</f>
        <v/>
      </c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61" t="n"/>
      <c r="M176" s="16" t="n"/>
      <c r="N176" s="62">
        <f>IFERROR(L176*M176/(1+M176),0)</f>
        <v/>
      </c>
      <c r="O176" s="62">
        <f>L176-N176</f>
        <v/>
      </c>
      <c r="P176" s="14" t="n"/>
      <c r="Q176" s="13">
        <f>IF(A176="","",IF(OR(L176&lt;=0,C176="",D176="",F176=""),"需检查",IF(AND(C176="支出",I176="未收票"),"缺发票","正常")))</f>
        <v/>
      </c>
    </row>
    <row r="177" ht="16.5" customHeight="1">
      <c r="A177" s="60" t="n"/>
      <c r="B177" s="13">
        <f>TEXT(A177,"yyyy-mm")</f>
        <v/>
      </c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61" t="n"/>
      <c r="M177" s="16" t="n"/>
      <c r="N177" s="62">
        <f>IFERROR(L177*M177/(1+M177),0)</f>
        <v/>
      </c>
      <c r="O177" s="62">
        <f>L177-N177</f>
        <v/>
      </c>
      <c r="P177" s="14" t="n"/>
      <c r="Q177" s="13">
        <f>IF(A177="","",IF(OR(L177&lt;=0,C177="",D177="",F177=""),"需检查",IF(AND(C177="支出",I177="未收票"),"缺发票","正常")))</f>
        <v/>
      </c>
    </row>
    <row r="178" ht="16.5" customHeight="1">
      <c r="A178" s="60" t="n"/>
      <c r="B178" s="13">
        <f>TEXT(A178,"yyyy-mm")</f>
        <v/>
      </c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61" t="n"/>
      <c r="M178" s="16" t="n"/>
      <c r="N178" s="62">
        <f>IFERROR(L178*M178/(1+M178),0)</f>
        <v/>
      </c>
      <c r="O178" s="62">
        <f>L178-N178</f>
        <v/>
      </c>
      <c r="P178" s="14" t="n"/>
      <c r="Q178" s="13">
        <f>IF(A178="","",IF(OR(L178&lt;=0,C178="",D178="",F178=""),"需检查",IF(AND(C178="支出",I178="未收票"),"缺发票","正常")))</f>
        <v/>
      </c>
    </row>
    <row r="179" ht="16.5" customHeight="1">
      <c r="A179" s="60" t="n"/>
      <c r="B179" s="13">
        <f>TEXT(A179,"yyyy-mm")</f>
        <v/>
      </c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61" t="n"/>
      <c r="M179" s="16" t="n"/>
      <c r="N179" s="62">
        <f>IFERROR(L179*M179/(1+M179),0)</f>
        <v/>
      </c>
      <c r="O179" s="62">
        <f>L179-N179</f>
        <v/>
      </c>
      <c r="P179" s="14" t="n"/>
      <c r="Q179" s="13">
        <f>IF(A179="","",IF(OR(L179&lt;=0,C179="",D179="",F179=""),"需检查",IF(AND(C179="支出",I179="未收票"),"缺发票","正常")))</f>
        <v/>
      </c>
    </row>
    <row r="180" ht="16.5" customHeight="1">
      <c r="A180" s="60" t="n"/>
      <c r="B180" s="13">
        <f>TEXT(A180,"yyyy-mm")</f>
        <v/>
      </c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61" t="n"/>
      <c r="M180" s="16" t="n"/>
      <c r="N180" s="62">
        <f>IFERROR(L180*M180/(1+M180),0)</f>
        <v/>
      </c>
      <c r="O180" s="62">
        <f>L180-N180</f>
        <v/>
      </c>
      <c r="P180" s="14" t="n"/>
      <c r="Q180" s="13">
        <f>IF(A180="","",IF(OR(L180&lt;=0,C180="",D180="",F180=""),"需检查",IF(AND(C180="支出",I180="未收票"),"缺发票","正常")))</f>
        <v/>
      </c>
    </row>
    <row r="181" ht="16.5" customHeight="1">
      <c r="A181" s="60" t="n"/>
      <c r="B181" s="13">
        <f>TEXT(A181,"yyyy-mm")</f>
        <v/>
      </c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61" t="n"/>
      <c r="M181" s="16" t="n"/>
      <c r="N181" s="62">
        <f>IFERROR(L181*M181/(1+M181),0)</f>
        <v/>
      </c>
      <c r="O181" s="62">
        <f>L181-N181</f>
        <v/>
      </c>
      <c r="P181" s="14" t="n"/>
      <c r="Q181" s="13">
        <f>IF(A181="","",IF(OR(L181&lt;=0,C181="",D181="",F181=""),"需检查",IF(AND(C181="支出",I181="未收票"),"缺发票","正常")))</f>
        <v/>
      </c>
    </row>
    <row r="182" ht="16.5" customHeight="1">
      <c r="A182" s="60" t="n"/>
      <c r="B182" s="13">
        <f>TEXT(A182,"yyyy-mm")</f>
        <v/>
      </c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61" t="n"/>
      <c r="M182" s="16" t="n"/>
      <c r="N182" s="62">
        <f>IFERROR(L182*M182/(1+M182),0)</f>
        <v/>
      </c>
      <c r="O182" s="62">
        <f>L182-N182</f>
        <v/>
      </c>
      <c r="P182" s="14" t="n"/>
      <c r="Q182" s="13">
        <f>IF(A182="","",IF(OR(L182&lt;=0,C182="",D182="",F182=""),"需检查",IF(AND(C182="支出",I182="未收票"),"缺发票","正常")))</f>
        <v/>
      </c>
    </row>
    <row r="183" ht="16.5" customHeight="1">
      <c r="A183" s="60" t="n"/>
      <c r="B183" s="13">
        <f>TEXT(A183,"yyyy-mm")</f>
        <v/>
      </c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61" t="n"/>
      <c r="M183" s="16" t="n"/>
      <c r="N183" s="62">
        <f>IFERROR(L183*M183/(1+M183),0)</f>
        <v/>
      </c>
      <c r="O183" s="62">
        <f>L183-N183</f>
        <v/>
      </c>
      <c r="P183" s="14" t="n"/>
      <c r="Q183" s="13">
        <f>IF(A183="","",IF(OR(L183&lt;=0,C183="",D183="",F183=""),"需检查",IF(AND(C183="支出",I183="未收票"),"缺发票","正常")))</f>
        <v/>
      </c>
    </row>
    <row r="184" ht="16.5" customHeight="1">
      <c r="A184" s="60" t="n"/>
      <c r="B184" s="13">
        <f>TEXT(A184,"yyyy-mm")</f>
        <v/>
      </c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61" t="n"/>
      <c r="M184" s="16" t="n"/>
      <c r="N184" s="62">
        <f>IFERROR(L184*M184/(1+M184),0)</f>
        <v/>
      </c>
      <c r="O184" s="62">
        <f>L184-N184</f>
        <v/>
      </c>
      <c r="P184" s="14" t="n"/>
      <c r="Q184" s="13">
        <f>IF(A184="","",IF(OR(L184&lt;=0,C184="",D184="",F184=""),"需检查",IF(AND(C184="支出",I184="未收票"),"缺发票","正常")))</f>
        <v/>
      </c>
    </row>
    <row r="185" ht="16.5" customHeight="1">
      <c r="A185" s="60" t="n"/>
      <c r="B185" s="13">
        <f>TEXT(A185,"yyyy-mm")</f>
        <v/>
      </c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61" t="n"/>
      <c r="M185" s="16" t="n"/>
      <c r="N185" s="62">
        <f>IFERROR(L185*M185/(1+M185),0)</f>
        <v/>
      </c>
      <c r="O185" s="62">
        <f>L185-N185</f>
        <v/>
      </c>
      <c r="P185" s="14" t="n"/>
      <c r="Q185" s="13">
        <f>IF(A185="","",IF(OR(L185&lt;=0,C185="",D185="",F185=""),"需检查",IF(AND(C185="支出",I185="未收票"),"缺发票","正常")))</f>
        <v/>
      </c>
    </row>
    <row r="186" ht="16.5" customHeight="1">
      <c r="A186" s="60" t="n"/>
      <c r="B186" s="13">
        <f>TEXT(A186,"yyyy-mm")</f>
        <v/>
      </c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61" t="n"/>
      <c r="M186" s="16" t="n"/>
      <c r="N186" s="62">
        <f>IFERROR(L186*M186/(1+M186),0)</f>
        <v/>
      </c>
      <c r="O186" s="62">
        <f>L186-N186</f>
        <v/>
      </c>
      <c r="P186" s="14" t="n"/>
      <c r="Q186" s="13">
        <f>IF(A186="","",IF(OR(L186&lt;=0,C186="",D186="",F186=""),"需检查",IF(AND(C186="支出",I186="未收票"),"缺发票","正常")))</f>
        <v/>
      </c>
    </row>
    <row r="187" ht="16.5" customHeight="1">
      <c r="A187" s="60" t="n"/>
      <c r="B187" s="13">
        <f>TEXT(A187,"yyyy-mm")</f>
        <v/>
      </c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61" t="n"/>
      <c r="M187" s="16" t="n"/>
      <c r="N187" s="62">
        <f>IFERROR(L187*M187/(1+M187),0)</f>
        <v/>
      </c>
      <c r="O187" s="62">
        <f>L187-N187</f>
        <v/>
      </c>
      <c r="P187" s="14" t="n"/>
      <c r="Q187" s="13">
        <f>IF(A187="","",IF(OR(L187&lt;=0,C187="",D187="",F187=""),"需检查",IF(AND(C187="支出",I187="未收票"),"缺发票","正常")))</f>
        <v/>
      </c>
    </row>
    <row r="188" ht="16.5" customHeight="1">
      <c r="A188" s="60" t="n"/>
      <c r="B188" s="13">
        <f>TEXT(A188,"yyyy-mm")</f>
        <v/>
      </c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61" t="n"/>
      <c r="M188" s="16" t="n"/>
      <c r="N188" s="62">
        <f>IFERROR(L188*M188/(1+M188),0)</f>
        <v/>
      </c>
      <c r="O188" s="62">
        <f>L188-N188</f>
        <v/>
      </c>
      <c r="P188" s="14" t="n"/>
      <c r="Q188" s="13">
        <f>IF(A188="","",IF(OR(L188&lt;=0,C188="",D188="",F188=""),"需检查",IF(AND(C188="支出",I188="未收票"),"缺发票","正常")))</f>
        <v/>
      </c>
    </row>
    <row r="189" ht="16.5" customHeight="1">
      <c r="A189" s="60" t="n"/>
      <c r="B189" s="13">
        <f>TEXT(A189,"yyyy-mm")</f>
        <v/>
      </c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61" t="n"/>
      <c r="M189" s="16" t="n"/>
      <c r="N189" s="62">
        <f>IFERROR(L189*M189/(1+M189),0)</f>
        <v/>
      </c>
      <c r="O189" s="62">
        <f>L189-N189</f>
        <v/>
      </c>
      <c r="P189" s="14" t="n"/>
      <c r="Q189" s="13">
        <f>IF(A189="","",IF(OR(L189&lt;=0,C189="",D189="",F189=""),"需检查",IF(AND(C189="支出",I189="未收票"),"缺发票","正常")))</f>
        <v/>
      </c>
    </row>
    <row r="190" ht="16.5" customHeight="1">
      <c r="A190" s="60" t="n"/>
      <c r="B190" s="13">
        <f>TEXT(A190,"yyyy-mm")</f>
        <v/>
      </c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61" t="n"/>
      <c r="M190" s="16" t="n"/>
      <c r="N190" s="62">
        <f>IFERROR(L190*M190/(1+M190),0)</f>
        <v/>
      </c>
      <c r="O190" s="62">
        <f>L190-N190</f>
        <v/>
      </c>
      <c r="P190" s="14" t="n"/>
      <c r="Q190" s="13">
        <f>IF(A190="","",IF(OR(L190&lt;=0,C190="",D190="",F190=""),"需检查",IF(AND(C190="支出",I190="未收票"),"缺发票","正常")))</f>
        <v/>
      </c>
    </row>
    <row r="191" ht="16.5" customHeight="1">
      <c r="A191" s="60" t="n"/>
      <c r="B191" s="13">
        <f>TEXT(A191,"yyyy-mm")</f>
        <v/>
      </c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61" t="n"/>
      <c r="M191" s="16" t="n"/>
      <c r="N191" s="62">
        <f>IFERROR(L191*M191/(1+M191),0)</f>
        <v/>
      </c>
      <c r="O191" s="62">
        <f>L191-N191</f>
        <v/>
      </c>
      <c r="P191" s="14" t="n"/>
      <c r="Q191" s="13">
        <f>IF(A191="","",IF(OR(L191&lt;=0,C191="",D191="",F191=""),"需检查",IF(AND(C191="支出",I191="未收票"),"缺发票","正常")))</f>
        <v/>
      </c>
    </row>
    <row r="192" ht="16.5" customHeight="1">
      <c r="A192" s="60" t="n"/>
      <c r="B192" s="13">
        <f>TEXT(A192,"yyyy-mm")</f>
        <v/>
      </c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61" t="n"/>
      <c r="M192" s="16" t="n"/>
      <c r="N192" s="62">
        <f>IFERROR(L192*M192/(1+M192),0)</f>
        <v/>
      </c>
      <c r="O192" s="62">
        <f>L192-N192</f>
        <v/>
      </c>
      <c r="P192" s="14" t="n"/>
      <c r="Q192" s="13">
        <f>IF(A192="","",IF(OR(L192&lt;=0,C192="",D192="",F192=""),"需检查",IF(AND(C192="支出",I192="未收票"),"缺发票","正常")))</f>
        <v/>
      </c>
    </row>
    <row r="193" ht="16.5" customHeight="1">
      <c r="A193" s="60" t="n"/>
      <c r="B193" s="13">
        <f>TEXT(A193,"yyyy-mm")</f>
        <v/>
      </c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61" t="n"/>
      <c r="M193" s="16" t="n"/>
      <c r="N193" s="62">
        <f>IFERROR(L193*M193/(1+M193),0)</f>
        <v/>
      </c>
      <c r="O193" s="62">
        <f>L193-N193</f>
        <v/>
      </c>
      <c r="P193" s="14" t="n"/>
      <c r="Q193" s="13">
        <f>IF(A193="","",IF(OR(L193&lt;=0,C193="",D193="",F193=""),"需检查",IF(AND(C193="支出",I193="未收票"),"缺发票","正常")))</f>
        <v/>
      </c>
    </row>
    <row r="194" ht="16.5" customHeight="1">
      <c r="A194" s="60" t="n"/>
      <c r="B194" s="13">
        <f>TEXT(A194,"yyyy-mm")</f>
        <v/>
      </c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61" t="n"/>
      <c r="M194" s="16" t="n"/>
      <c r="N194" s="62">
        <f>IFERROR(L194*M194/(1+M194),0)</f>
        <v/>
      </c>
      <c r="O194" s="62">
        <f>L194-N194</f>
        <v/>
      </c>
      <c r="P194" s="14" t="n"/>
      <c r="Q194" s="13">
        <f>IF(A194="","",IF(OR(L194&lt;=0,C194="",D194="",F194=""),"需检查",IF(AND(C194="支出",I194="未收票"),"缺发票","正常")))</f>
        <v/>
      </c>
    </row>
    <row r="195" ht="16.5" customHeight="1">
      <c r="A195" s="60" t="n"/>
      <c r="B195" s="13">
        <f>TEXT(A195,"yyyy-mm")</f>
        <v/>
      </c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61" t="n"/>
      <c r="M195" s="16" t="n"/>
      <c r="N195" s="62">
        <f>IFERROR(L195*M195/(1+M195),0)</f>
        <v/>
      </c>
      <c r="O195" s="62">
        <f>L195-N195</f>
        <v/>
      </c>
      <c r="P195" s="14" t="n"/>
      <c r="Q195" s="13">
        <f>IF(A195="","",IF(OR(L195&lt;=0,C195="",D195="",F195=""),"需检查",IF(AND(C195="支出",I195="未收票"),"缺发票","正常")))</f>
        <v/>
      </c>
    </row>
    <row r="196" ht="16.5" customHeight="1">
      <c r="A196" s="60" t="n"/>
      <c r="B196" s="13">
        <f>TEXT(A196,"yyyy-mm")</f>
        <v/>
      </c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61" t="n"/>
      <c r="M196" s="16" t="n"/>
      <c r="N196" s="62">
        <f>IFERROR(L196*M196/(1+M196),0)</f>
        <v/>
      </c>
      <c r="O196" s="62">
        <f>L196-N196</f>
        <v/>
      </c>
      <c r="P196" s="14" t="n"/>
      <c r="Q196" s="13">
        <f>IF(A196="","",IF(OR(L196&lt;=0,C196="",D196="",F196=""),"需检查",IF(AND(C196="支出",I196="未收票"),"缺发票","正常")))</f>
        <v/>
      </c>
    </row>
    <row r="197" ht="16.5" customHeight="1">
      <c r="A197" s="60" t="n"/>
      <c r="B197" s="13">
        <f>TEXT(A197,"yyyy-mm")</f>
        <v/>
      </c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61" t="n"/>
      <c r="M197" s="16" t="n"/>
      <c r="N197" s="62">
        <f>IFERROR(L197*M197/(1+M197),0)</f>
        <v/>
      </c>
      <c r="O197" s="62">
        <f>L197-N197</f>
        <v/>
      </c>
      <c r="P197" s="14" t="n"/>
      <c r="Q197" s="13">
        <f>IF(A197="","",IF(OR(L197&lt;=0,C197="",D197="",F197=""),"需检查",IF(AND(C197="支出",I197="未收票"),"缺发票","正常")))</f>
        <v/>
      </c>
    </row>
    <row r="198" ht="16.5" customHeight="1">
      <c r="A198" s="60" t="n"/>
      <c r="B198" s="13">
        <f>TEXT(A198,"yyyy-mm")</f>
        <v/>
      </c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61" t="n"/>
      <c r="M198" s="16" t="n"/>
      <c r="N198" s="62">
        <f>IFERROR(L198*M198/(1+M198),0)</f>
        <v/>
      </c>
      <c r="O198" s="62">
        <f>L198-N198</f>
        <v/>
      </c>
      <c r="P198" s="14" t="n"/>
      <c r="Q198" s="13">
        <f>IF(A198="","",IF(OR(L198&lt;=0,C198="",D198="",F198=""),"需检查",IF(AND(C198="支出",I198="未收票"),"缺发票","正常")))</f>
        <v/>
      </c>
    </row>
    <row r="199" ht="16.5" customHeight="1">
      <c r="A199" s="60" t="n"/>
      <c r="B199" s="13">
        <f>TEXT(A199,"yyyy-mm")</f>
        <v/>
      </c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61" t="n"/>
      <c r="M199" s="16" t="n"/>
      <c r="N199" s="62">
        <f>IFERROR(L199*M199/(1+M199),0)</f>
        <v/>
      </c>
      <c r="O199" s="62">
        <f>L199-N199</f>
        <v/>
      </c>
      <c r="P199" s="14" t="n"/>
      <c r="Q199" s="13">
        <f>IF(A199="","",IF(OR(L199&lt;=0,C199="",D199="",F199=""),"需检查",IF(AND(C199="支出",I199="未收票"),"缺发票","正常")))</f>
        <v/>
      </c>
    </row>
    <row r="200" ht="16.5" customHeight="1">
      <c r="A200" s="60" t="n"/>
      <c r="B200" s="13">
        <f>TEXT(A200,"yyyy-mm")</f>
        <v/>
      </c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61" t="n"/>
      <c r="M200" s="16" t="n"/>
      <c r="N200" s="62">
        <f>IFERROR(L200*M200/(1+M200),0)</f>
        <v/>
      </c>
      <c r="O200" s="62">
        <f>L200-N200</f>
        <v/>
      </c>
      <c r="P200" s="14" t="n"/>
      <c r="Q200" s="13">
        <f>IF(A200="","",IF(OR(L200&lt;=0,C200="",D200="",F200=""),"需检查",IF(AND(C200="支出",I200="未收票"),"缺发票","正常")))</f>
        <v/>
      </c>
    </row>
    <row r="201" ht="16.5" customHeight="1">
      <c r="A201" s="60" t="n"/>
      <c r="B201" s="13">
        <f>TEXT(A201,"yyyy-mm")</f>
        <v/>
      </c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61" t="n"/>
      <c r="M201" s="16" t="n"/>
      <c r="N201" s="62">
        <f>IFERROR(L201*M201/(1+M201),0)</f>
        <v/>
      </c>
      <c r="O201" s="62">
        <f>L201-N201</f>
        <v/>
      </c>
      <c r="P201" s="14" t="n"/>
      <c r="Q201" s="13">
        <f>IF(A201="","",IF(OR(L201&lt;=0,C201="",D201="",F201=""),"需检查",IF(AND(C201="支出",I201="未收票"),"缺发票","正常")))</f>
        <v/>
      </c>
    </row>
    <row r="202" ht="16.5" customHeight="1">
      <c r="A202" s="60" t="n"/>
      <c r="B202" s="13">
        <f>TEXT(A202,"yyyy-mm")</f>
        <v/>
      </c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61" t="n"/>
      <c r="M202" s="16" t="n"/>
      <c r="N202" s="62">
        <f>IFERROR(L202*M202/(1+M202),0)</f>
        <v/>
      </c>
      <c r="O202" s="62">
        <f>L202-N202</f>
        <v/>
      </c>
      <c r="P202" s="14" t="n"/>
      <c r="Q202" s="13">
        <f>IF(A202="","",IF(OR(L202&lt;=0,C202="",D202="",F202=""),"需检查",IF(AND(C202="支出",I202="未收票"),"缺发票","正常")))</f>
        <v/>
      </c>
    </row>
    <row r="203" ht="16.5" customHeight="1">
      <c r="A203" s="60" t="n"/>
      <c r="B203" s="13">
        <f>TEXT(A203,"yyyy-mm")</f>
        <v/>
      </c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61" t="n"/>
      <c r="M203" s="16" t="n"/>
      <c r="N203" s="62">
        <f>IFERROR(L203*M203/(1+M203),0)</f>
        <v/>
      </c>
      <c r="O203" s="62">
        <f>L203-N203</f>
        <v/>
      </c>
      <c r="P203" s="14" t="n"/>
      <c r="Q203" s="13">
        <f>IF(A203="","",IF(OR(L203&lt;=0,C203="",D203="",F203=""),"需检查",IF(AND(C203="支出",I203="未收票"),"缺发票","正常")))</f>
        <v/>
      </c>
    </row>
    <row r="204" ht="16.5" customHeight="1">
      <c r="A204" s="63" t="n"/>
      <c r="B204" s="19">
        <f>TEXT(A204,"yyyy-mm")</f>
        <v/>
      </c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64" t="n"/>
      <c r="M204" s="22" t="n"/>
      <c r="N204" s="65">
        <f>IFERROR(L204*M204/(1+M204),0)</f>
        <v/>
      </c>
      <c r="O204" s="65">
        <f>L204-N204</f>
        <v/>
      </c>
      <c r="P204" s="20" t="n"/>
      <c r="Q204" s="19">
        <f>IF(A204="","",IF(OR(L204&lt;=0,C204="",D204="",F204=""),"需检查",IF(AND(C204="支出",I204="未收票"),"缺发票","正常")))</f>
        <v/>
      </c>
    </row>
  </sheetData>
  <mergeCells count="2">
    <mergeCell ref="A3:Q3"/>
    <mergeCell ref="A1:Q2"/>
  </mergeCells>
  <conditionalFormatting sqref="Q5:Q204">
    <cfRule type="containsText" priority="1" operator="containsText" dxfId="0" text="正常"/>
    <cfRule type="notContainsText" priority="2" operator="notContains" dxfId="1" text="正常"/>
  </conditionalFormatting>
  <dataValidations count="3">
    <dataValidation sqref="C5:C204" showDropDown="0" showInputMessage="0" showErrorMessage="0" allowBlank="0" type="list">
      <formula1>"收入,支出"</formula1>
    </dataValidation>
    <dataValidation sqref="I5:I204" showDropDown="0" showInputMessage="0" showErrorMessage="0" allowBlank="0" type="list">
      <formula1>"已开票,未开票,已收票,未收票,无需发票"</formula1>
    </dataValidation>
    <dataValidation sqref="J5:J204" showDropDown="0" showInputMessage="0" showErrorMessage="0" allowBlank="0" type="list">
      <formula1>"已收款,部分收款,未收款,已付款,部分付款,未付款"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A1" sqref="A1"/>
    </sheetView>
  </sheetViews>
  <sheetFormatPr baseColWidth="8" defaultRowHeight="14"/>
  <cols>
    <col width="15" customWidth="1" min="1" max="1"/>
    <col width="18" customWidth="1" min="2" max="2"/>
    <col width="14" customWidth="1" min="3" max="3"/>
    <col width="12" customWidth="1" min="4" max="15"/>
    <col width="14" customWidth="1" min="16" max="17"/>
    <col width="11" customWidth="1" min="18" max="19"/>
    <col width="12" customWidth="1" min="20" max="21"/>
  </cols>
  <sheetData>
    <row r="1" ht="34" customHeight="1">
      <c r="A1" s="42" t="inlineStr">
        <is>
          <t>年度预算执行表</t>
        </is>
      </c>
    </row>
    <row r="2" ht="34" customHeight="1"/>
    <row r="3" ht="18.5" customHeight="1">
      <c r="A3" s="45" t="inlineStr">
        <is>
          <t>黄色列为年度预算输入；各月实际取自“财务流水”中的支出数据。</t>
        </is>
      </c>
    </row>
    <row r="4" ht="30" customHeight="1">
      <c r="A4" s="5" t="inlineStr">
        <is>
          <t>部门</t>
        </is>
      </c>
      <c r="B4" s="5" t="inlineStr">
        <is>
          <t>费用类别</t>
        </is>
      </c>
      <c r="C4" s="5" t="inlineStr">
        <is>
          <t>年度预算</t>
        </is>
      </c>
      <c r="D4" s="5" t="inlineStr">
        <is>
          <t>1月实际</t>
        </is>
      </c>
      <c r="E4" s="5" t="inlineStr">
        <is>
          <t>2月实际</t>
        </is>
      </c>
      <c r="F4" s="5" t="inlineStr">
        <is>
          <t>3月实际</t>
        </is>
      </c>
      <c r="G4" s="5" t="inlineStr">
        <is>
          <t>4月实际</t>
        </is>
      </c>
      <c r="H4" s="5" t="inlineStr">
        <is>
          <t>5月实际</t>
        </is>
      </c>
      <c r="I4" s="5" t="inlineStr">
        <is>
          <t>6月实际</t>
        </is>
      </c>
      <c r="J4" s="5" t="inlineStr">
        <is>
          <t>7月实际</t>
        </is>
      </c>
      <c r="K4" s="5" t="inlineStr">
        <is>
          <t>8月实际</t>
        </is>
      </c>
      <c r="L4" s="5" t="inlineStr">
        <is>
          <t>9月实际</t>
        </is>
      </c>
      <c r="M4" s="5" t="inlineStr">
        <is>
          <t>10月实际</t>
        </is>
      </c>
      <c r="N4" s="5" t="inlineStr">
        <is>
          <t>11月实际</t>
        </is>
      </c>
      <c r="O4" s="5" t="inlineStr">
        <is>
          <t>12月实际</t>
        </is>
      </c>
      <c r="P4" s="5" t="inlineStr">
        <is>
          <t>累计实际</t>
        </is>
      </c>
      <c r="Q4" s="5" t="inlineStr">
        <is>
          <t>剩余预算</t>
        </is>
      </c>
      <c r="R4" s="5" t="inlineStr">
        <is>
          <t>执行率</t>
        </is>
      </c>
      <c r="S4" s="5" t="inlineStr">
        <is>
          <t>年度进度</t>
        </is>
      </c>
      <c r="T4" s="5" t="inlineStr">
        <is>
          <t>偏差状态</t>
        </is>
      </c>
      <c r="U4" s="5" t="inlineStr">
        <is>
          <t>责任人</t>
        </is>
      </c>
    </row>
    <row r="5" ht="16.5" customHeight="1">
      <c r="A5" s="2" t="inlineStr">
        <is>
          <t>运营部</t>
        </is>
      </c>
      <c r="B5" s="2" t="inlineStr">
        <is>
          <t>电费</t>
        </is>
      </c>
      <c r="C5" s="66" t="n">
        <v>1200000</v>
      </c>
      <c r="D5" s="67">
        <f>SUMIFS(财务流水!$L$5:$L$204,财务流水!$B$5:$B$204,"2026-01",财务流水!$C$5:$C$204,"支出",财务流水!$D$5:$D$204,$A5,财务流水!$F$5:$F$204,$B5)</f>
        <v/>
      </c>
      <c r="E5" s="67">
        <f>SUMIFS(财务流水!$L$5:$L$204,财务流水!$B$5:$B$204,"2026-02",财务流水!$C$5:$C$204,"支出",财务流水!$D$5:$D$204,$A5,财务流水!$F$5:$F$204,$B5)</f>
        <v/>
      </c>
      <c r="F5" s="67">
        <f>SUMIFS(财务流水!$L$5:$L$204,财务流水!$B$5:$B$204,"2026-03",财务流水!$C$5:$C$204,"支出",财务流水!$D$5:$D$204,$A5,财务流水!$F$5:$F$204,$B5)</f>
        <v/>
      </c>
      <c r="G5" s="67">
        <f>SUMIFS(财务流水!$L$5:$L$204,财务流水!$B$5:$B$204,"2026-04",财务流水!$C$5:$C$204,"支出",财务流水!$D$5:$D$204,$A5,财务流水!$F$5:$F$204,$B5)</f>
        <v/>
      </c>
      <c r="H5" s="67">
        <f>SUMIFS(财务流水!$L$5:$L$204,财务流水!$B$5:$B$204,"2026-05",财务流水!$C$5:$C$204,"支出",财务流水!$D$5:$D$204,$A5,财务流水!$F$5:$F$204,$B5)</f>
        <v/>
      </c>
      <c r="I5" s="67">
        <f>SUMIFS(财务流水!$L$5:$L$204,财务流水!$B$5:$B$204,"2026-06",财务流水!$C$5:$C$204,"支出",财务流水!$D$5:$D$204,$A5,财务流水!$F$5:$F$204,$B5)</f>
        <v/>
      </c>
      <c r="J5" s="67">
        <f>SUMIFS(财务流水!$L$5:$L$204,财务流水!$B$5:$B$204,"2026-07",财务流水!$C$5:$C$204,"支出",财务流水!$D$5:$D$204,$A5,财务流水!$F$5:$F$204,$B5)</f>
        <v/>
      </c>
      <c r="K5" s="67">
        <f>SUMIFS(财务流水!$L$5:$L$204,财务流水!$B$5:$B$204,"2026-08",财务流水!$C$5:$C$204,"支出",财务流水!$D$5:$D$204,$A5,财务流水!$F$5:$F$204,$B5)</f>
        <v/>
      </c>
      <c r="L5" s="67">
        <f>SUMIFS(财务流水!$L$5:$L$204,财务流水!$B$5:$B$204,"2026-09",财务流水!$C$5:$C$204,"支出",财务流水!$D$5:$D$204,$A5,财务流水!$F$5:$F$204,$B5)</f>
        <v/>
      </c>
      <c r="M5" s="67">
        <f>SUMIFS(财务流水!$L$5:$L$204,财务流水!$B$5:$B$204,"2026-10",财务流水!$C$5:$C$204,"支出",财务流水!$D$5:$D$204,$A5,财务流水!$F$5:$F$204,$B5)</f>
        <v/>
      </c>
      <c r="N5" s="67">
        <f>SUMIFS(财务流水!$L$5:$L$204,财务流水!$B$5:$B$204,"2026-11",财务流水!$C$5:$C$204,"支出",财务流水!$D$5:$D$204,$A5,财务流水!$F$5:$F$204,$B5)</f>
        <v/>
      </c>
      <c r="O5" s="67">
        <f>SUMIFS(财务流水!$L$5:$L$204,财务流水!$B$5:$B$204,"2026-12",财务流水!$C$5:$C$204,"支出",财务流水!$D$5:$D$204,$A5,财务流水!$F$5:$F$204,$B5)</f>
        <v/>
      </c>
      <c r="P5" s="67">
        <f>SUM(D5:O5)</f>
        <v/>
      </c>
      <c r="Q5" s="67">
        <f>C5-P5</f>
        <v/>
      </c>
      <c r="R5" s="68">
        <f>IFERROR(P5/C5,0)</f>
        <v/>
      </c>
      <c r="S5" s="68">
        <f>7/12</f>
        <v/>
      </c>
      <c r="T5" s="27">
        <f>IF(R5&gt;S5+10%,"超进度",IF(R5&lt;S5-10%,"低于进度","正常"))</f>
        <v/>
      </c>
      <c r="U5" s="2" t="inlineStr">
        <is>
          <t>王芳</t>
        </is>
      </c>
    </row>
    <row r="6" ht="16.5" customHeight="1">
      <c r="A6" s="3" t="inlineStr">
        <is>
          <t>运营部</t>
        </is>
      </c>
      <c r="B6" s="3" t="inlineStr">
        <is>
          <t>运维费</t>
        </is>
      </c>
      <c r="C6" s="69" t="n">
        <v>480000</v>
      </c>
      <c r="D6" s="70">
        <f>SUMIFS(财务流水!$L$5:$L$204,财务流水!$B$5:$B$204,"2026-01",财务流水!$C$5:$C$204,"支出",财务流水!$D$5:$D$204,$A6,财务流水!$F$5:$F$204,$B6)</f>
        <v/>
      </c>
      <c r="E6" s="70">
        <f>SUMIFS(财务流水!$L$5:$L$204,财务流水!$B$5:$B$204,"2026-02",财务流水!$C$5:$C$204,"支出",财务流水!$D$5:$D$204,$A6,财务流水!$F$5:$F$204,$B6)</f>
        <v/>
      </c>
      <c r="F6" s="70">
        <f>SUMIFS(财务流水!$L$5:$L$204,财务流水!$B$5:$B$204,"2026-03",财务流水!$C$5:$C$204,"支出",财务流水!$D$5:$D$204,$A6,财务流水!$F$5:$F$204,$B6)</f>
        <v/>
      </c>
      <c r="G6" s="70">
        <f>SUMIFS(财务流水!$L$5:$L$204,财务流水!$B$5:$B$204,"2026-04",财务流水!$C$5:$C$204,"支出",财务流水!$D$5:$D$204,$A6,财务流水!$F$5:$F$204,$B6)</f>
        <v/>
      </c>
      <c r="H6" s="70">
        <f>SUMIFS(财务流水!$L$5:$L$204,财务流水!$B$5:$B$204,"2026-05",财务流水!$C$5:$C$204,"支出",财务流水!$D$5:$D$204,$A6,财务流水!$F$5:$F$204,$B6)</f>
        <v/>
      </c>
      <c r="I6" s="70">
        <f>SUMIFS(财务流水!$L$5:$L$204,财务流水!$B$5:$B$204,"2026-06",财务流水!$C$5:$C$204,"支出",财务流水!$D$5:$D$204,$A6,财务流水!$F$5:$F$204,$B6)</f>
        <v/>
      </c>
      <c r="J6" s="70">
        <f>SUMIFS(财务流水!$L$5:$L$204,财务流水!$B$5:$B$204,"2026-07",财务流水!$C$5:$C$204,"支出",财务流水!$D$5:$D$204,$A6,财务流水!$F$5:$F$204,$B6)</f>
        <v/>
      </c>
      <c r="K6" s="70">
        <f>SUMIFS(财务流水!$L$5:$L$204,财务流水!$B$5:$B$204,"2026-08",财务流水!$C$5:$C$204,"支出",财务流水!$D$5:$D$204,$A6,财务流水!$F$5:$F$204,$B6)</f>
        <v/>
      </c>
      <c r="L6" s="70">
        <f>SUMIFS(财务流水!$L$5:$L$204,财务流水!$B$5:$B$204,"2026-09",财务流水!$C$5:$C$204,"支出",财务流水!$D$5:$D$204,$A6,财务流水!$F$5:$F$204,$B6)</f>
        <v/>
      </c>
      <c r="M6" s="70">
        <f>SUMIFS(财务流水!$L$5:$L$204,财务流水!$B$5:$B$204,"2026-10",财务流水!$C$5:$C$204,"支出",财务流水!$D$5:$D$204,$A6,财务流水!$F$5:$F$204,$B6)</f>
        <v/>
      </c>
      <c r="N6" s="70">
        <f>SUMIFS(财务流水!$L$5:$L$204,财务流水!$B$5:$B$204,"2026-11",财务流水!$C$5:$C$204,"支出",财务流水!$D$5:$D$204,$A6,财务流水!$F$5:$F$204,$B6)</f>
        <v/>
      </c>
      <c r="O6" s="70">
        <f>SUMIFS(财务流水!$L$5:$L$204,财务流水!$B$5:$B$204,"2026-12",财务流水!$C$5:$C$204,"支出",财务流水!$D$5:$D$204,$A6,财务流水!$F$5:$F$204,$B6)</f>
        <v/>
      </c>
      <c r="P6" s="70">
        <f>SUM(D6:O6)</f>
        <v/>
      </c>
      <c r="Q6" s="70">
        <f>C6-P6</f>
        <v/>
      </c>
      <c r="R6" s="71">
        <f>IFERROR(P6/C6,0)</f>
        <v/>
      </c>
      <c r="S6" s="71">
        <f>7/12</f>
        <v/>
      </c>
      <c r="T6" s="31">
        <f>IF(R6&gt;S6+10%,"超进度",IF(R6&lt;S6-10%,"低于进度","正常"))</f>
        <v/>
      </c>
      <c r="U6" s="3" t="inlineStr">
        <is>
          <t>王芳</t>
        </is>
      </c>
    </row>
    <row r="7" ht="16.5" customHeight="1">
      <c r="A7" s="3" t="inlineStr">
        <is>
          <t>研发部</t>
        </is>
      </c>
      <c r="B7" s="3" t="inlineStr">
        <is>
          <t>软件服务费</t>
        </is>
      </c>
      <c r="C7" s="69" t="n">
        <v>600000</v>
      </c>
      <c r="D7" s="70">
        <f>SUMIFS(财务流水!$L$5:$L$204,财务流水!$B$5:$B$204,"2026-01",财务流水!$C$5:$C$204,"支出",财务流水!$D$5:$D$204,$A7,财务流水!$F$5:$F$204,$B7)</f>
        <v/>
      </c>
      <c r="E7" s="70">
        <f>SUMIFS(财务流水!$L$5:$L$204,财务流水!$B$5:$B$204,"2026-02",财务流水!$C$5:$C$204,"支出",财务流水!$D$5:$D$204,$A7,财务流水!$F$5:$F$204,$B7)</f>
        <v/>
      </c>
      <c r="F7" s="70">
        <f>SUMIFS(财务流水!$L$5:$L$204,财务流水!$B$5:$B$204,"2026-03",财务流水!$C$5:$C$204,"支出",财务流水!$D$5:$D$204,$A7,财务流水!$F$5:$F$204,$B7)</f>
        <v/>
      </c>
      <c r="G7" s="70">
        <f>SUMIFS(财务流水!$L$5:$L$204,财务流水!$B$5:$B$204,"2026-04",财务流水!$C$5:$C$204,"支出",财务流水!$D$5:$D$204,$A7,财务流水!$F$5:$F$204,$B7)</f>
        <v/>
      </c>
      <c r="H7" s="70">
        <f>SUMIFS(财务流水!$L$5:$L$204,财务流水!$B$5:$B$204,"2026-05",财务流水!$C$5:$C$204,"支出",财务流水!$D$5:$D$204,$A7,财务流水!$F$5:$F$204,$B7)</f>
        <v/>
      </c>
      <c r="I7" s="70">
        <f>SUMIFS(财务流水!$L$5:$L$204,财务流水!$B$5:$B$204,"2026-06",财务流水!$C$5:$C$204,"支出",财务流水!$D$5:$D$204,$A7,财务流水!$F$5:$F$204,$B7)</f>
        <v/>
      </c>
      <c r="J7" s="70">
        <f>SUMIFS(财务流水!$L$5:$L$204,财务流水!$B$5:$B$204,"2026-07",财务流水!$C$5:$C$204,"支出",财务流水!$D$5:$D$204,$A7,财务流水!$F$5:$F$204,$B7)</f>
        <v/>
      </c>
      <c r="K7" s="70">
        <f>SUMIFS(财务流水!$L$5:$L$204,财务流水!$B$5:$B$204,"2026-08",财务流水!$C$5:$C$204,"支出",财务流水!$D$5:$D$204,$A7,财务流水!$F$5:$F$204,$B7)</f>
        <v/>
      </c>
      <c r="L7" s="70">
        <f>SUMIFS(财务流水!$L$5:$L$204,财务流水!$B$5:$B$204,"2026-09",财务流水!$C$5:$C$204,"支出",财务流水!$D$5:$D$204,$A7,财务流水!$F$5:$F$204,$B7)</f>
        <v/>
      </c>
      <c r="M7" s="70">
        <f>SUMIFS(财务流水!$L$5:$L$204,财务流水!$B$5:$B$204,"2026-10",财务流水!$C$5:$C$204,"支出",财务流水!$D$5:$D$204,$A7,财务流水!$F$5:$F$204,$B7)</f>
        <v/>
      </c>
      <c r="N7" s="70">
        <f>SUMIFS(财务流水!$L$5:$L$204,财务流水!$B$5:$B$204,"2026-11",财务流水!$C$5:$C$204,"支出",财务流水!$D$5:$D$204,$A7,财务流水!$F$5:$F$204,$B7)</f>
        <v/>
      </c>
      <c r="O7" s="70">
        <f>SUMIFS(财务流水!$L$5:$L$204,财务流水!$B$5:$B$204,"2026-12",财务流水!$C$5:$C$204,"支出",财务流水!$D$5:$D$204,$A7,财务流水!$F$5:$F$204,$B7)</f>
        <v/>
      </c>
      <c r="P7" s="70">
        <f>SUM(D7:O7)</f>
        <v/>
      </c>
      <c r="Q7" s="70">
        <f>C7-P7</f>
        <v/>
      </c>
      <c r="R7" s="71">
        <f>IFERROR(P7/C7,0)</f>
        <v/>
      </c>
      <c r="S7" s="71">
        <f>7/12</f>
        <v/>
      </c>
      <c r="T7" s="31">
        <f>IF(R7&gt;S7+10%,"超进度",IF(R7&lt;S7-10%,"低于进度","正常"))</f>
        <v/>
      </c>
      <c r="U7" s="3" t="inlineStr">
        <is>
          <t>李强</t>
        </is>
      </c>
    </row>
    <row r="8" ht="16.5" customHeight="1">
      <c r="A8" s="3" t="inlineStr">
        <is>
          <t>研发部</t>
        </is>
      </c>
      <c r="B8" s="3" t="inlineStr">
        <is>
          <t>差旅费</t>
        </is>
      </c>
      <c r="C8" s="69" t="n">
        <v>120000</v>
      </c>
      <c r="D8" s="70">
        <f>SUMIFS(财务流水!$L$5:$L$204,财务流水!$B$5:$B$204,"2026-01",财务流水!$C$5:$C$204,"支出",财务流水!$D$5:$D$204,$A8,财务流水!$F$5:$F$204,$B8)</f>
        <v/>
      </c>
      <c r="E8" s="70">
        <f>SUMIFS(财务流水!$L$5:$L$204,财务流水!$B$5:$B$204,"2026-02",财务流水!$C$5:$C$204,"支出",财务流水!$D$5:$D$204,$A8,财务流水!$F$5:$F$204,$B8)</f>
        <v/>
      </c>
      <c r="F8" s="70">
        <f>SUMIFS(财务流水!$L$5:$L$204,财务流水!$B$5:$B$204,"2026-03",财务流水!$C$5:$C$204,"支出",财务流水!$D$5:$D$204,$A8,财务流水!$F$5:$F$204,$B8)</f>
        <v/>
      </c>
      <c r="G8" s="70">
        <f>SUMIFS(财务流水!$L$5:$L$204,财务流水!$B$5:$B$204,"2026-04",财务流水!$C$5:$C$204,"支出",财务流水!$D$5:$D$204,$A8,财务流水!$F$5:$F$204,$B8)</f>
        <v/>
      </c>
      <c r="H8" s="70">
        <f>SUMIFS(财务流水!$L$5:$L$204,财务流水!$B$5:$B$204,"2026-05",财务流水!$C$5:$C$204,"支出",财务流水!$D$5:$D$204,$A8,财务流水!$F$5:$F$204,$B8)</f>
        <v/>
      </c>
      <c r="I8" s="70">
        <f>SUMIFS(财务流水!$L$5:$L$204,财务流水!$B$5:$B$204,"2026-06",财务流水!$C$5:$C$204,"支出",财务流水!$D$5:$D$204,$A8,财务流水!$F$5:$F$204,$B8)</f>
        <v/>
      </c>
      <c r="J8" s="70">
        <f>SUMIFS(财务流水!$L$5:$L$204,财务流水!$B$5:$B$204,"2026-07",财务流水!$C$5:$C$204,"支出",财务流水!$D$5:$D$204,$A8,财务流水!$F$5:$F$204,$B8)</f>
        <v/>
      </c>
      <c r="K8" s="70">
        <f>SUMIFS(财务流水!$L$5:$L$204,财务流水!$B$5:$B$204,"2026-08",财务流水!$C$5:$C$204,"支出",财务流水!$D$5:$D$204,$A8,财务流水!$F$5:$F$204,$B8)</f>
        <v/>
      </c>
      <c r="L8" s="70">
        <f>SUMIFS(财务流水!$L$5:$L$204,财务流水!$B$5:$B$204,"2026-09",财务流水!$C$5:$C$204,"支出",财务流水!$D$5:$D$204,$A8,财务流水!$F$5:$F$204,$B8)</f>
        <v/>
      </c>
      <c r="M8" s="70">
        <f>SUMIFS(财务流水!$L$5:$L$204,财务流水!$B$5:$B$204,"2026-10",财务流水!$C$5:$C$204,"支出",财务流水!$D$5:$D$204,$A8,财务流水!$F$5:$F$204,$B8)</f>
        <v/>
      </c>
      <c r="N8" s="70">
        <f>SUMIFS(财务流水!$L$5:$L$204,财务流水!$B$5:$B$204,"2026-11",财务流水!$C$5:$C$204,"支出",财务流水!$D$5:$D$204,$A8,财务流水!$F$5:$F$204,$B8)</f>
        <v/>
      </c>
      <c r="O8" s="70">
        <f>SUMIFS(财务流水!$L$5:$L$204,财务流水!$B$5:$B$204,"2026-12",财务流水!$C$5:$C$204,"支出",财务流水!$D$5:$D$204,$A8,财务流水!$F$5:$F$204,$B8)</f>
        <v/>
      </c>
      <c r="P8" s="70">
        <f>SUM(D8:O8)</f>
        <v/>
      </c>
      <c r="Q8" s="70">
        <f>C8-P8</f>
        <v/>
      </c>
      <c r="R8" s="71">
        <f>IFERROR(P8/C8,0)</f>
        <v/>
      </c>
      <c r="S8" s="71">
        <f>7/12</f>
        <v/>
      </c>
      <c r="T8" s="31">
        <f>IF(R8&gt;S8+10%,"超进度",IF(R8&lt;S8-10%,"低于进度","正常"))</f>
        <v/>
      </c>
      <c r="U8" s="3" t="inlineStr">
        <is>
          <t>李强</t>
        </is>
      </c>
    </row>
    <row r="9" ht="16.5" customHeight="1">
      <c r="A9" s="3" t="inlineStr">
        <is>
          <t>项目部</t>
        </is>
      </c>
      <c r="B9" s="3" t="inlineStr">
        <is>
          <t>设备采购</t>
        </is>
      </c>
      <c r="C9" s="69" t="n">
        <v>900000</v>
      </c>
      <c r="D9" s="70">
        <f>SUMIFS(财务流水!$L$5:$L$204,财务流水!$B$5:$B$204,"2026-01",财务流水!$C$5:$C$204,"支出",财务流水!$D$5:$D$204,$A9,财务流水!$F$5:$F$204,$B9)</f>
        <v/>
      </c>
      <c r="E9" s="70">
        <f>SUMIFS(财务流水!$L$5:$L$204,财务流水!$B$5:$B$204,"2026-02",财务流水!$C$5:$C$204,"支出",财务流水!$D$5:$D$204,$A9,财务流水!$F$5:$F$204,$B9)</f>
        <v/>
      </c>
      <c r="F9" s="70">
        <f>SUMIFS(财务流水!$L$5:$L$204,财务流水!$B$5:$B$204,"2026-03",财务流水!$C$5:$C$204,"支出",财务流水!$D$5:$D$204,$A9,财务流水!$F$5:$F$204,$B9)</f>
        <v/>
      </c>
      <c r="G9" s="70">
        <f>SUMIFS(财务流水!$L$5:$L$204,财务流水!$B$5:$B$204,"2026-04",财务流水!$C$5:$C$204,"支出",财务流水!$D$5:$D$204,$A9,财务流水!$F$5:$F$204,$B9)</f>
        <v/>
      </c>
      <c r="H9" s="70">
        <f>SUMIFS(财务流水!$L$5:$L$204,财务流水!$B$5:$B$204,"2026-05",财务流水!$C$5:$C$204,"支出",财务流水!$D$5:$D$204,$A9,财务流水!$F$5:$F$204,$B9)</f>
        <v/>
      </c>
      <c r="I9" s="70">
        <f>SUMIFS(财务流水!$L$5:$L$204,财务流水!$B$5:$B$204,"2026-06",财务流水!$C$5:$C$204,"支出",财务流水!$D$5:$D$204,$A9,财务流水!$F$5:$F$204,$B9)</f>
        <v/>
      </c>
      <c r="J9" s="70">
        <f>SUMIFS(财务流水!$L$5:$L$204,财务流水!$B$5:$B$204,"2026-07",财务流水!$C$5:$C$204,"支出",财务流水!$D$5:$D$204,$A9,财务流水!$F$5:$F$204,$B9)</f>
        <v/>
      </c>
      <c r="K9" s="70">
        <f>SUMIFS(财务流水!$L$5:$L$204,财务流水!$B$5:$B$204,"2026-08",财务流水!$C$5:$C$204,"支出",财务流水!$D$5:$D$204,$A9,财务流水!$F$5:$F$204,$B9)</f>
        <v/>
      </c>
      <c r="L9" s="70">
        <f>SUMIFS(财务流水!$L$5:$L$204,财务流水!$B$5:$B$204,"2026-09",财务流水!$C$5:$C$204,"支出",财务流水!$D$5:$D$204,$A9,财务流水!$F$5:$F$204,$B9)</f>
        <v/>
      </c>
      <c r="M9" s="70">
        <f>SUMIFS(财务流水!$L$5:$L$204,财务流水!$B$5:$B$204,"2026-10",财务流水!$C$5:$C$204,"支出",财务流水!$D$5:$D$204,$A9,财务流水!$F$5:$F$204,$B9)</f>
        <v/>
      </c>
      <c r="N9" s="70">
        <f>SUMIFS(财务流水!$L$5:$L$204,财务流水!$B$5:$B$204,"2026-11",财务流水!$C$5:$C$204,"支出",财务流水!$D$5:$D$204,$A9,财务流水!$F$5:$F$204,$B9)</f>
        <v/>
      </c>
      <c r="O9" s="70">
        <f>SUMIFS(财务流水!$L$5:$L$204,财务流水!$B$5:$B$204,"2026-12",财务流水!$C$5:$C$204,"支出",财务流水!$D$5:$D$204,$A9,财务流水!$F$5:$F$204,$B9)</f>
        <v/>
      </c>
      <c r="P9" s="70">
        <f>SUM(D9:O9)</f>
        <v/>
      </c>
      <c r="Q9" s="70">
        <f>C9-P9</f>
        <v/>
      </c>
      <c r="R9" s="71">
        <f>IFERROR(P9/C9,0)</f>
        <v/>
      </c>
      <c r="S9" s="71">
        <f>7/12</f>
        <v/>
      </c>
      <c r="T9" s="31">
        <f>IF(R9&gt;S9+10%,"超进度",IF(R9&lt;S9-10%,"低于进度","正常"))</f>
        <v/>
      </c>
      <c r="U9" s="3" t="inlineStr">
        <is>
          <t>陈杰</t>
        </is>
      </c>
    </row>
    <row r="10" ht="16.5" customHeight="1">
      <c r="A10" s="3" t="inlineStr">
        <is>
          <t>市场部</t>
        </is>
      </c>
      <c r="B10" s="3" t="inlineStr">
        <is>
          <t>市场推广费</t>
        </is>
      </c>
      <c r="C10" s="69" t="n">
        <v>360000</v>
      </c>
      <c r="D10" s="70">
        <f>SUMIFS(财务流水!$L$5:$L$204,财务流水!$B$5:$B$204,"2026-01",财务流水!$C$5:$C$204,"支出",财务流水!$D$5:$D$204,$A10,财务流水!$F$5:$F$204,$B10)</f>
        <v/>
      </c>
      <c r="E10" s="70">
        <f>SUMIFS(财务流水!$L$5:$L$204,财务流水!$B$5:$B$204,"2026-02",财务流水!$C$5:$C$204,"支出",财务流水!$D$5:$D$204,$A10,财务流水!$F$5:$F$204,$B10)</f>
        <v/>
      </c>
      <c r="F10" s="70">
        <f>SUMIFS(财务流水!$L$5:$L$204,财务流水!$B$5:$B$204,"2026-03",财务流水!$C$5:$C$204,"支出",财务流水!$D$5:$D$204,$A10,财务流水!$F$5:$F$204,$B10)</f>
        <v/>
      </c>
      <c r="G10" s="70">
        <f>SUMIFS(财务流水!$L$5:$L$204,财务流水!$B$5:$B$204,"2026-04",财务流水!$C$5:$C$204,"支出",财务流水!$D$5:$D$204,$A10,财务流水!$F$5:$F$204,$B10)</f>
        <v/>
      </c>
      <c r="H10" s="70">
        <f>SUMIFS(财务流水!$L$5:$L$204,财务流水!$B$5:$B$204,"2026-05",财务流水!$C$5:$C$204,"支出",财务流水!$D$5:$D$204,$A10,财务流水!$F$5:$F$204,$B10)</f>
        <v/>
      </c>
      <c r="I10" s="70">
        <f>SUMIFS(财务流水!$L$5:$L$204,财务流水!$B$5:$B$204,"2026-06",财务流水!$C$5:$C$204,"支出",财务流水!$D$5:$D$204,$A10,财务流水!$F$5:$F$204,$B10)</f>
        <v/>
      </c>
      <c r="J10" s="70">
        <f>SUMIFS(财务流水!$L$5:$L$204,财务流水!$B$5:$B$204,"2026-07",财务流水!$C$5:$C$204,"支出",财务流水!$D$5:$D$204,$A10,财务流水!$F$5:$F$204,$B10)</f>
        <v/>
      </c>
      <c r="K10" s="70">
        <f>SUMIFS(财务流水!$L$5:$L$204,财务流水!$B$5:$B$204,"2026-08",财务流水!$C$5:$C$204,"支出",财务流水!$D$5:$D$204,$A10,财务流水!$F$5:$F$204,$B10)</f>
        <v/>
      </c>
      <c r="L10" s="70">
        <f>SUMIFS(财务流水!$L$5:$L$204,财务流水!$B$5:$B$204,"2026-09",财务流水!$C$5:$C$204,"支出",财务流水!$D$5:$D$204,$A10,财务流水!$F$5:$F$204,$B10)</f>
        <v/>
      </c>
      <c r="M10" s="70">
        <f>SUMIFS(财务流水!$L$5:$L$204,财务流水!$B$5:$B$204,"2026-10",财务流水!$C$5:$C$204,"支出",财务流水!$D$5:$D$204,$A10,财务流水!$F$5:$F$204,$B10)</f>
        <v/>
      </c>
      <c r="N10" s="70">
        <f>SUMIFS(财务流水!$L$5:$L$204,财务流水!$B$5:$B$204,"2026-11",财务流水!$C$5:$C$204,"支出",财务流水!$D$5:$D$204,$A10,财务流水!$F$5:$F$204,$B10)</f>
        <v/>
      </c>
      <c r="O10" s="70">
        <f>SUMIFS(财务流水!$L$5:$L$204,财务流水!$B$5:$B$204,"2026-12",财务流水!$C$5:$C$204,"支出",财务流水!$D$5:$D$204,$A10,财务流水!$F$5:$F$204,$B10)</f>
        <v/>
      </c>
      <c r="P10" s="70">
        <f>SUM(D10:O10)</f>
        <v/>
      </c>
      <c r="Q10" s="70">
        <f>C10-P10</f>
        <v/>
      </c>
      <c r="R10" s="71">
        <f>IFERROR(P10/C10,0)</f>
        <v/>
      </c>
      <c r="S10" s="71">
        <f>7/12</f>
        <v/>
      </c>
      <c r="T10" s="31">
        <f>IF(R10&gt;S10+10%,"超进度",IF(R10&lt;S10-10%,"低于进度","正常"))</f>
        <v/>
      </c>
      <c r="U10" s="3" t="inlineStr">
        <is>
          <t>赵晨</t>
        </is>
      </c>
    </row>
    <row r="11" ht="16.5" customHeight="1">
      <c r="A11" s="3" t="inlineStr">
        <is>
          <t>行政部</t>
        </is>
      </c>
      <c r="B11" s="3" t="inlineStr">
        <is>
          <t>办公费</t>
        </is>
      </c>
      <c r="C11" s="69" t="n">
        <v>180000</v>
      </c>
      <c r="D11" s="70">
        <f>SUMIFS(财务流水!$L$5:$L$204,财务流水!$B$5:$B$204,"2026-01",财务流水!$C$5:$C$204,"支出",财务流水!$D$5:$D$204,$A11,财务流水!$F$5:$F$204,$B11)</f>
        <v/>
      </c>
      <c r="E11" s="70">
        <f>SUMIFS(财务流水!$L$5:$L$204,财务流水!$B$5:$B$204,"2026-02",财务流水!$C$5:$C$204,"支出",财务流水!$D$5:$D$204,$A11,财务流水!$F$5:$F$204,$B11)</f>
        <v/>
      </c>
      <c r="F11" s="70">
        <f>SUMIFS(财务流水!$L$5:$L$204,财务流水!$B$5:$B$204,"2026-03",财务流水!$C$5:$C$204,"支出",财务流水!$D$5:$D$204,$A11,财务流水!$F$5:$F$204,$B11)</f>
        <v/>
      </c>
      <c r="G11" s="70">
        <f>SUMIFS(财务流水!$L$5:$L$204,财务流水!$B$5:$B$204,"2026-04",财务流水!$C$5:$C$204,"支出",财务流水!$D$5:$D$204,$A11,财务流水!$F$5:$F$204,$B11)</f>
        <v/>
      </c>
      <c r="H11" s="70">
        <f>SUMIFS(财务流水!$L$5:$L$204,财务流水!$B$5:$B$204,"2026-05",财务流水!$C$5:$C$204,"支出",财务流水!$D$5:$D$204,$A11,财务流水!$F$5:$F$204,$B11)</f>
        <v/>
      </c>
      <c r="I11" s="70">
        <f>SUMIFS(财务流水!$L$5:$L$204,财务流水!$B$5:$B$204,"2026-06",财务流水!$C$5:$C$204,"支出",财务流水!$D$5:$D$204,$A11,财务流水!$F$5:$F$204,$B11)</f>
        <v/>
      </c>
      <c r="J11" s="70">
        <f>SUMIFS(财务流水!$L$5:$L$204,财务流水!$B$5:$B$204,"2026-07",财务流水!$C$5:$C$204,"支出",财务流水!$D$5:$D$204,$A11,财务流水!$F$5:$F$204,$B11)</f>
        <v/>
      </c>
      <c r="K11" s="70">
        <f>SUMIFS(财务流水!$L$5:$L$204,财务流水!$B$5:$B$204,"2026-08",财务流水!$C$5:$C$204,"支出",财务流水!$D$5:$D$204,$A11,财务流水!$F$5:$F$204,$B11)</f>
        <v/>
      </c>
      <c r="L11" s="70">
        <f>SUMIFS(财务流水!$L$5:$L$204,财务流水!$B$5:$B$204,"2026-09",财务流水!$C$5:$C$204,"支出",财务流水!$D$5:$D$204,$A11,财务流水!$F$5:$F$204,$B11)</f>
        <v/>
      </c>
      <c r="M11" s="70">
        <f>SUMIFS(财务流水!$L$5:$L$204,财务流水!$B$5:$B$204,"2026-10",财务流水!$C$5:$C$204,"支出",财务流水!$D$5:$D$204,$A11,财务流水!$F$5:$F$204,$B11)</f>
        <v/>
      </c>
      <c r="N11" s="70">
        <f>SUMIFS(财务流水!$L$5:$L$204,财务流水!$B$5:$B$204,"2026-11",财务流水!$C$5:$C$204,"支出",财务流水!$D$5:$D$204,$A11,财务流水!$F$5:$F$204,$B11)</f>
        <v/>
      </c>
      <c r="O11" s="70">
        <f>SUMIFS(财务流水!$L$5:$L$204,财务流水!$B$5:$B$204,"2026-12",财务流水!$C$5:$C$204,"支出",财务流水!$D$5:$D$204,$A11,财务流水!$F$5:$F$204,$B11)</f>
        <v/>
      </c>
      <c r="P11" s="70">
        <f>SUM(D11:O11)</f>
        <v/>
      </c>
      <c r="Q11" s="70">
        <f>C11-P11</f>
        <v/>
      </c>
      <c r="R11" s="71">
        <f>IFERROR(P11/C11,0)</f>
        <v/>
      </c>
      <c r="S11" s="71">
        <f>7/12</f>
        <v/>
      </c>
      <c r="T11" s="31">
        <f>IF(R11&gt;S11+10%,"超进度",IF(R11&lt;S11-10%,"低于进度","正常"))</f>
        <v/>
      </c>
      <c r="U11" s="3" t="inlineStr">
        <is>
          <t>刘悦</t>
        </is>
      </c>
    </row>
    <row r="12" ht="16.5" customHeight="1">
      <c r="A12" s="3" t="inlineStr">
        <is>
          <t>人力资源部</t>
        </is>
      </c>
      <c r="B12" s="3" t="inlineStr">
        <is>
          <t>培训费</t>
        </is>
      </c>
      <c r="C12" s="69" t="n">
        <v>240000</v>
      </c>
      <c r="D12" s="70">
        <f>SUMIFS(财务流水!$L$5:$L$204,财务流水!$B$5:$B$204,"2026-01",财务流水!$C$5:$C$204,"支出",财务流水!$D$5:$D$204,$A12,财务流水!$F$5:$F$204,$B12)</f>
        <v/>
      </c>
      <c r="E12" s="70">
        <f>SUMIFS(财务流水!$L$5:$L$204,财务流水!$B$5:$B$204,"2026-02",财务流水!$C$5:$C$204,"支出",财务流水!$D$5:$D$204,$A12,财务流水!$F$5:$F$204,$B12)</f>
        <v/>
      </c>
      <c r="F12" s="70">
        <f>SUMIFS(财务流水!$L$5:$L$204,财务流水!$B$5:$B$204,"2026-03",财务流水!$C$5:$C$204,"支出",财务流水!$D$5:$D$204,$A12,财务流水!$F$5:$F$204,$B12)</f>
        <v/>
      </c>
      <c r="G12" s="70">
        <f>SUMIFS(财务流水!$L$5:$L$204,财务流水!$B$5:$B$204,"2026-04",财务流水!$C$5:$C$204,"支出",财务流水!$D$5:$D$204,$A12,财务流水!$F$5:$F$204,$B12)</f>
        <v/>
      </c>
      <c r="H12" s="70">
        <f>SUMIFS(财务流水!$L$5:$L$204,财务流水!$B$5:$B$204,"2026-05",财务流水!$C$5:$C$204,"支出",财务流水!$D$5:$D$204,$A12,财务流水!$F$5:$F$204,$B12)</f>
        <v/>
      </c>
      <c r="I12" s="70">
        <f>SUMIFS(财务流水!$L$5:$L$204,财务流水!$B$5:$B$204,"2026-06",财务流水!$C$5:$C$204,"支出",财务流水!$D$5:$D$204,$A12,财务流水!$F$5:$F$204,$B12)</f>
        <v/>
      </c>
      <c r="J12" s="70">
        <f>SUMIFS(财务流水!$L$5:$L$204,财务流水!$B$5:$B$204,"2026-07",财务流水!$C$5:$C$204,"支出",财务流水!$D$5:$D$204,$A12,财务流水!$F$5:$F$204,$B12)</f>
        <v/>
      </c>
      <c r="K12" s="70">
        <f>SUMIFS(财务流水!$L$5:$L$204,财务流水!$B$5:$B$204,"2026-08",财务流水!$C$5:$C$204,"支出",财务流水!$D$5:$D$204,$A12,财务流水!$F$5:$F$204,$B12)</f>
        <v/>
      </c>
      <c r="L12" s="70">
        <f>SUMIFS(财务流水!$L$5:$L$204,财务流水!$B$5:$B$204,"2026-09",财务流水!$C$5:$C$204,"支出",财务流水!$D$5:$D$204,$A12,财务流水!$F$5:$F$204,$B12)</f>
        <v/>
      </c>
      <c r="M12" s="70">
        <f>SUMIFS(财务流水!$L$5:$L$204,财务流水!$B$5:$B$204,"2026-10",财务流水!$C$5:$C$204,"支出",财务流水!$D$5:$D$204,$A12,财务流水!$F$5:$F$204,$B12)</f>
        <v/>
      </c>
      <c r="N12" s="70">
        <f>SUMIFS(财务流水!$L$5:$L$204,财务流水!$B$5:$B$204,"2026-11",财务流水!$C$5:$C$204,"支出",财务流水!$D$5:$D$204,$A12,财务流水!$F$5:$F$204,$B12)</f>
        <v/>
      </c>
      <c r="O12" s="70">
        <f>SUMIFS(财务流水!$L$5:$L$204,财务流水!$B$5:$B$204,"2026-12",财务流水!$C$5:$C$204,"支出",财务流水!$D$5:$D$204,$A12,财务流水!$F$5:$F$204,$B12)</f>
        <v/>
      </c>
      <c r="P12" s="70">
        <f>SUM(D12:O12)</f>
        <v/>
      </c>
      <c r="Q12" s="70">
        <f>C12-P12</f>
        <v/>
      </c>
      <c r="R12" s="71">
        <f>IFERROR(P12/C12,0)</f>
        <v/>
      </c>
      <c r="S12" s="71">
        <f>7/12</f>
        <v/>
      </c>
      <c r="T12" s="31">
        <f>IF(R12&gt;S12+10%,"超进度",IF(R12&lt;S12-10%,"低于进度","正常"))</f>
        <v/>
      </c>
      <c r="U12" s="3" t="inlineStr">
        <is>
          <t>孙静</t>
        </is>
      </c>
    </row>
    <row r="13" ht="16.5" customHeight="1">
      <c r="A13" s="46" t="inlineStr">
        <is>
          <t>合计</t>
        </is>
      </c>
      <c r="B13" s="72" t="n"/>
      <c r="C13" s="73">
        <f>SUM(C5:C12)</f>
        <v/>
      </c>
      <c r="D13" s="73">
        <f>SUM(D5:D12)</f>
        <v/>
      </c>
      <c r="E13" s="73">
        <f>SUM(E5:E12)</f>
        <v/>
      </c>
      <c r="F13" s="73">
        <f>SUM(F5:F12)</f>
        <v/>
      </c>
      <c r="G13" s="73">
        <f>SUM(G5:G12)</f>
        <v/>
      </c>
      <c r="H13" s="73">
        <f>SUM(H5:H12)</f>
        <v/>
      </c>
      <c r="I13" s="73">
        <f>SUM(I5:I12)</f>
        <v/>
      </c>
      <c r="J13" s="73">
        <f>SUM(J5:J12)</f>
        <v/>
      </c>
      <c r="K13" s="73">
        <f>SUM(K5:K12)</f>
        <v/>
      </c>
      <c r="L13" s="73">
        <f>SUM(L5:L12)</f>
        <v/>
      </c>
      <c r="M13" s="73">
        <f>SUM(M5:M12)</f>
        <v/>
      </c>
      <c r="N13" s="73">
        <f>SUM(N5:N12)</f>
        <v/>
      </c>
      <c r="O13" s="73">
        <f>SUM(O5:O12)</f>
        <v/>
      </c>
      <c r="P13" s="73">
        <f>SUM(P5:P12)</f>
        <v/>
      </c>
      <c r="Q13" s="73">
        <f>SUM(Q5:Q12)</f>
        <v/>
      </c>
      <c r="R13" s="74">
        <f>IFERROR(P13/C13,0)</f>
        <v/>
      </c>
      <c r="S13" s="74">
        <f>7/12</f>
        <v/>
      </c>
      <c r="T13" s="46">
        <f>IF(R13&gt;S13+10%,"超进度",IF(R13&lt;S13-10%,"低于进度","正常"))</f>
        <v/>
      </c>
      <c r="U13" s="46" t="n"/>
    </row>
  </sheetData>
  <mergeCells count="3">
    <mergeCell ref="A13:B13"/>
    <mergeCell ref="A1:U2"/>
    <mergeCell ref="A3:U3"/>
  </mergeCells>
  <conditionalFormatting sqref="T5:T13">
    <cfRule type="containsText" priority="1" operator="containsText" dxfId="0" text="正常"/>
    <cfRule type="containsText" priority="2" operator="containsText" dxfId="1" text="超进度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selection activeCell="A1" sqref="A1"/>
    </sheetView>
  </sheetViews>
  <sheetFormatPr baseColWidth="8" defaultRowHeight="14"/>
  <cols>
    <col width="14" customWidth="1" min="1" max="1"/>
    <col width="10" customWidth="1" min="2" max="2"/>
    <col width="24" customWidth="1" min="3" max="3"/>
    <col width="22" customWidth="1" min="4" max="4"/>
    <col width="15" customWidth="1" min="5" max="7"/>
    <col width="13" customWidth="1" min="8" max="8"/>
    <col width="12" customWidth="1" min="9" max="9"/>
    <col width="11" customWidth="1" min="10" max="10"/>
    <col width="12" customWidth="1" min="11" max="11"/>
    <col width="28" customWidth="1" min="12" max="12"/>
  </cols>
  <sheetData>
    <row r="1" ht="34" customHeight="1">
      <c r="A1" s="42" t="inlineStr">
        <is>
          <t>应收应付与账期跟踪</t>
        </is>
      </c>
    </row>
    <row r="2" ht="34" customHeight="1"/>
    <row r="3" ht="30" customHeight="1">
      <c r="A3" s="5" t="inlineStr">
        <is>
          <t>单号</t>
        </is>
      </c>
      <c r="B3" s="5" t="inlineStr">
        <is>
          <t>类型</t>
        </is>
      </c>
      <c r="C3" s="5" t="inlineStr">
        <is>
          <t>对方单位</t>
        </is>
      </c>
      <c r="D3" s="5" t="inlineStr">
        <is>
          <t>项目</t>
        </is>
      </c>
      <c r="E3" s="5" t="inlineStr">
        <is>
          <t>合同金额</t>
        </is>
      </c>
      <c r="F3" s="5" t="inlineStr">
        <is>
          <t>已收/已付</t>
        </is>
      </c>
      <c r="G3" s="5" t="inlineStr">
        <is>
          <t>未结金额</t>
        </is>
      </c>
      <c r="H3" s="5" t="inlineStr">
        <is>
          <t>到期日</t>
        </is>
      </c>
      <c r="I3" s="5" t="inlineStr">
        <is>
          <t>状态</t>
        </is>
      </c>
      <c r="J3" s="5" t="inlineStr">
        <is>
          <t>逾期天数</t>
        </is>
      </c>
      <c r="K3" s="5" t="inlineStr">
        <is>
          <t>负责人</t>
        </is>
      </c>
      <c r="L3" s="5" t="inlineStr">
        <is>
          <t>下一步动作</t>
        </is>
      </c>
    </row>
    <row r="4" ht="16.5" customHeight="1">
      <c r="A4" s="8" t="inlineStr">
        <is>
          <t>AR-26001</t>
        </is>
      </c>
      <c r="B4" s="8" t="inlineStr">
        <is>
          <t>应收</t>
        </is>
      </c>
      <c r="C4" s="8" t="inlineStr">
        <is>
          <t>某能源公司</t>
        </is>
      </c>
      <c r="D4" s="8" t="inlineStr">
        <is>
          <t>储能改造项目</t>
        </is>
      </c>
      <c r="E4" s="58" t="n">
        <v>420000</v>
      </c>
      <c r="F4" s="58" t="n">
        <v>200000</v>
      </c>
      <c r="G4" s="59">
        <f>E4-F4</f>
        <v/>
      </c>
      <c r="H4" s="57" t="n">
        <v>46203</v>
      </c>
      <c r="I4" s="7">
        <f>IF(A4="","",IF(G4&lt;=0,"已结清",IF(H4&lt;TODAY(),"已逾期","未到期")))</f>
        <v/>
      </c>
      <c r="J4" s="35">
        <f>IF(OR(A4="",G4&lt;=0),0,MAX(0,TODAY()-H4))</f>
        <v/>
      </c>
      <c r="K4" s="8" t="inlineStr">
        <is>
          <t>陈杰</t>
        </is>
      </c>
      <c r="L4" s="8" t="inlineStr">
        <is>
          <t>催收剩余里程碑款</t>
        </is>
      </c>
    </row>
    <row r="5" ht="16.5" customHeight="1">
      <c r="A5" s="14" t="inlineStr">
        <is>
          <t>AR-26002</t>
        </is>
      </c>
      <c r="B5" s="14" t="inlineStr">
        <is>
          <t>应收</t>
        </is>
      </c>
      <c r="C5" s="14" t="inlineStr">
        <is>
          <t>某电力公司</t>
        </is>
      </c>
      <c r="D5" s="14" t="inlineStr">
        <is>
          <t>数据平台项目</t>
        </is>
      </c>
      <c r="E5" s="61" t="n">
        <v>780000</v>
      </c>
      <c r="F5" s="61" t="n">
        <v>560000</v>
      </c>
      <c r="G5" s="62">
        <f>E5-F5</f>
        <v/>
      </c>
      <c r="H5" s="60" t="n">
        <v>46223</v>
      </c>
      <c r="I5" s="13">
        <f>IF(A5="","",IF(G5&lt;=0,"已结清",IF(H5&lt;TODAY(),"已逾期","未到期")))</f>
        <v/>
      </c>
      <c r="J5" s="36">
        <f>IF(OR(A5="",G5&lt;=0),0,MAX(0,TODAY()-H5))</f>
        <v/>
      </c>
      <c r="K5" s="14" t="inlineStr">
        <is>
          <t>陈杰</t>
        </is>
      </c>
      <c r="L5" s="14" t="inlineStr">
        <is>
          <t>验收后开票催收</t>
        </is>
      </c>
    </row>
    <row r="6" ht="16.5" customHeight="1">
      <c r="A6" s="14" t="inlineStr">
        <is>
          <t>AR-26003</t>
        </is>
      </c>
      <c r="B6" s="14" t="inlineStr">
        <is>
          <t>应收</t>
        </is>
      </c>
      <c r="C6" s="14" t="inlineStr">
        <is>
          <t>常州某运营公司</t>
        </is>
      </c>
      <c r="D6" s="14" t="inlineStr">
        <is>
          <t>7月充电服务</t>
        </is>
      </c>
      <c r="E6" s="61" t="n">
        <v>335000</v>
      </c>
      <c r="F6" s="61" t="n">
        <v>335000</v>
      </c>
      <c r="G6" s="62">
        <f>E6-F6</f>
        <v/>
      </c>
      <c r="H6" s="60" t="n">
        <v>46213</v>
      </c>
      <c r="I6" s="13">
        <f>IF(A6="","",IF(G6&lt;=0,"已结清",IF(H6&lt;TODAY(),"已逾期","未到期")))</f>
        <v/>
      </c>
      <c r="J6" s="36">
        <f>IF(OR(A6="",G6&lt;=0),0,MAX(0,TODAY()-H6))</f>
        <v/>
      </c>
      <c r="K6" s="14" t="inlineStr">
        <is>
          <t>张敏</t>
        </is>
      </c>
      <c r="L6" s="14" t="inlineStr">
        <is>
          <t>已结清归档</t>
        </is>
      </c>
    </row>
    <row r="7" ht="16.5" customHeight="1">
      <c r="A7" s="14" t="inlineStr">
        <is>
          <t>AP-26001</t>
        </is>
      </c>
      <c r="B7" s="14" t="inlineStr">
        <is>
          <t>应付</t>
        </is>
      </c>
      <c r="C7" s="14" t="inlineStr">
        <is>
          <t>某科技公司</t>
        </is>
      </c>
      <c r="D7" s="14" t="inlineStr">
        <is>
          <t>AI平台API费用</t>
        </is>
      </c>
      <c r="E7" s="61" t="n">
        <v>42000</v>
      </c>
      <c r="F7" s="61" t="n">
        <v>0</v>
      </c>
      <c r="G7" s="62">
        <f>E7-F7</f>
        <v/>
      </c>
      <c r="H7" s="60" t="n">
        <v>46234</v>
      </c>
      <c r="I7" s="13">
        <f>IF(A7="","",IF(G7&lt;=0,"已结清",IF(H7&lt;TODAY(),"已逾期","未到期")))</f>
        <v/>
      </c>
      <c r="J7" s="36">
        <f>IF(OR(A7="",G7&lt;=0),0,MAX(0,TODAY()-H7))</f>
        <v/>
      </c>
      <c r="K7" s="14" t="inlineStr">
        <is>
          <t>李强</t>
        </is>
      </c>
      <c r="L7" s="14" t="inlineStr">
        <is>
          <t>核对发票后付款</t>
        </is>
      </c>
    </row>
    <row r="8" ht="16.5" customHeight="1">
      <c r="A8" s="14" t="inlineStr">
        <is>
          <t>AP-26002</t>
        </is>
      </c>
      <c r="B8" s="14" t="inlineStr">
        <is>
          <t>应付</t>
        </is>
      </c>
      <c r="C8" s="14" t="inlineStr">
        <is>
          <t>某传媒公司</t>
        </is>
      </c>
      <c r="D8" s="14" t="inlineStr">
        <is>
          <t>品牌内容制作</t>
        </is>
      </c>
      <c r="E8" s="61" t="n">
        <v>18000</v>
      </c>
      <c r="F8" s="61" t="n">
        <v>0</v>
      </c>
      <c r="G8" s="62">
        <f>E8-F8</f>
        <v/>
      </c>
      <c r="H8" s="60" t="n">
        <v>46228</v>
      </c>
      <c r="I8" s="13">
        <f>IF(A8="","",IF(G8&lt;=0,"已结清",IF(H8&lt;TODAY(),"已逾期","未到期")))</f>
        <v/>
      </c>
      <c r="J8" s="36">
        <f>IF(OR(A8="",G8&lt;=0),0,MAX(0,TODAY()-H8))</f>
        <v/>
      </c>
      <c r="K8" s="14" t="inlineStr">
        <is>
          <t>赵晨</t>
        </is>
      </c>
      <c r="L8" s="14" t="inlineStr">
        <is>
          <t>补齐发票与验收材料</t>
        </is>
      </c>
    </row>
    <row r="9" ht="16.5" customHeight="1">
      <c r="A9" s="14" t="inlineStr">
        <is>
          <t>AP-26003</t>
        </is>
      </c>
      <c r="B9" s="14" t="inlineStr">
        <is>
          <t>应付</t>
        </is>
      </c>
      <c r="C9" s="14" t="inlineStr">
        <is>
          <t>某运维公司</t>
        </is>
      </c>
      <c r="D9" s="14" t="inlineStr">
        <is>
          <t>凤凰谷年度巡检</t>
        </is>
      </c>
      <c r="E9" s="61" t="n">
        <v>46000</v>
      </c>
      <c r="F9" s="61" t="n">
        <v>0</v>
      </c>
      <c r="G9" s="62">
        <f>E9-F9</f>
        <v/>
      </c>
      <c r="H9" s="60" t="n">
        <v>46188</v>
      </c>
      <c r="I9" s="13">
        <f>IF(A9="","",IF(G9&lt;=0,"已结清",IF(H9&lt;TODAY(),"已逾期","未到期")))</f>
        <v/>
      </c>
      <c r="J9" s="36">
        <f>IF(OR(A9="",G9&lt;=0),0,MAX(0,TODAY()-H9))</f>
        <v/>
      </c>
      <c r="K9" s="14" t="inlineStr">
        <is>
          <t>王芳</t>
        </is>
      </c>
      <c r="L9" s="14" t="inlineStr">
        <is>
          <t>确认巡检报告并排款</t>
        </is>
      </c>
    </row>
    <row r="10" ht="16.5" customHeight="1">
      <c r="A10" s="14" t="n"/>
      <c r="B10" s="14" t="n"/>
      <c r="C10" s="14" t="n"/>
      <c r="D10" s="14" t="n"/>
      <c r="E10" s="61" t="n"/>
      <c r="F10" s="61" t="n"/>
      <c r="G10" s="62">
        <f>E10-F10</f>
        <v/>
      </c>
      <c r="H10" s="60" t="n"/>
      <c r="I10" s="13">
        <f>IF(A10="","",IF(G10&lt;=0,"已结清",IF(H10&lt;TODAY(),"已逾期","未到期")))</f>
        <v/>
      </c>
      <c r="J10" s="36">
        <f>IF(OR(A10="",G10&lt;=0),0,MAX(0,TODAY()-H10))</f>
        <v/>
      </c>
      <c r="K10" s="14" t="n"/>
      <c r="L10" s="14" t="n"/>
    </row>
    <row r="11" ht="16.5" customHeight="1">
      <c r="A11" s="14" t="n"/>
      <c r="B11" s="14" t="n"/>
      <c r="C11" s="14" t="n"/>
      <c r="D11" s="14" t="n"/>
      <c r="E11" s="61" t="n"/>
      <c r="F11" s="61" t="n"/>
      <c r="G11" s="62">
        <f>E11-F11</f>
        <v/>
      </c>
      <c r="H11" s="60" t="n"/>
      <c r="I11" s="13">
        <f>IF(A11="","",IF(G11&lt;=0,"已结清",IF(H11&lt;TODAY(),"已逾期","未到期")))</f>
        <v/>
      </c>
      <c r="J11" s="36">
        <f>IF(OR(A11="",G11&lt;=0),0,MAX(0,TODAY()-H11))</f>
        <v/>
      </c>
      <c r="K11" s="14" t="n"/>
      <c r="L11" s="14" t="n"/>
    </row>
    <row r="12" ht="16.5" customHeight="1">
      <c r="A12" s="14" t="n"/>
      <c r="B12" s="14" t="n"/>
      <c r="C12" s="14" t="n"/>
      <c r="D12" s="14" t="n"/>
      <c r="E12" s="61" t="n"/>
      <c r="F12" s="61" t="n"/>
      <c r="G12" s="62">
        <f>E12-F12</f>
        <v/>
      </c>
      <c r="H12" s="60" t="n"/>
      <c r="I12" s="13">
        <f>IF(A12="","",IF(G12&lt;=0,"已结清",IF(H12&lt;TODAY(),"已逾期","未到期")))</f>
        <v/>
      </c>
      <c r="J12" s="36">
        <f>IF(OR(A12="",G12&lt;=0),0,MAX(0,TODAY()-H12))</f>
        <v/>
      </c>
      <c r="K12" s="14" t="n"/>
      <c r="L12" s="14" t="n"/>
    </row>
    <row r="13" ht="16.5" customHeight="1">
      <c r="A13" s="14" t="n"/>
      <c r="B13" s="14" t="n"/>
      <c r="C13" s="14" t="n"/>
      <c r="D13" s="14" t="n"/>
      <c r="E13" s="61" t="n"/>
      <c r="F13" s="61" t="n"/>
      <c r="G13" s="62">
        <f>E13-F13</f>
        <v/>
      </c>
      <c r="H13" s="60" t="n"/>
      <c r="I13" s="13">
        <f>IF(A13="","",IF(G13&lt;=0,"已结清",IF(H13&lt;TODAY(),"已逾期","未到期")))</f>
        <v/>
      </c>
      <c r="J13" s="36">
        <f>IF(OR(A13="",G13&lt;=0),0,MAX(0,TODAY()-H13))</f>
        <v/>
      </c>
      <c r="K13" s="14" t="n"/>
      <c r="L13" s="14" t="n"/>
    </row>
    <row r="14" ht="16.5" customHeight="1">
      <c r="A14" s="14" t="n"/>
      <c r="B14" s="14" t="n"/>
      <c r="C14" s="14" t="n"/>
      <c r="D14" s="14" t="n"/>
      <c r="E14" s="61" t="n"/>
      <c r="F14" s="61" t="n"/>
      <c r="G14" s="62">
        <f>E14-F14</f>
        <v/>
      </c>
      <c r="H14" s="60" t="n"/>
      <c r="I14" s="13">
        <f>IF(A14="","",IF(G14&lt;=0,"已结清",IF(H14&lt;TODAY(),"已逾期","未到期")))</f>
        <v/>
      </c>
      <c r="J14" s="36">
        <f>IF(OR(A14="",G14&lt;=0),0,MAX(0,TODAY()-H14))</f>
        <v/>
      </c>
      <c r="K14" s="14" t="n"/>
      <c r="L14" s="14" t="n"/>
    </row>
    <row r="15" ht="16.5" customHeight="1">
      <c r="A15" s="14" t="n"/>
      <c r="B15" s="14" t="n"/>
      <c r="C15" s="14" t="n"/>
      <c r="D15" s="14" t="n"/>
      <c r="E15" s="61" t="n"/>
      <c r="F15" s="61" t="n"/>
      <c r="G15" s="62">
        <f>E15-F15</f>
        <v/>
      </c>
      <c r="H15" s="60" t="n"/>
      <c r="I15" s="13">
        <f>IF(A15="","",IF(G15&lt;=0,"已结清",IF(H15&lt;TODAY(),"已逾期","未到期")))</f>
        <v/>
      </c>
      <c r="J15" s="36">
        <f>IF(OR(A15="",G15&lt;=0),0,MAX(0,TODAY()-H15))</f>
        <v/>
      </c>
      <c r="K15" s="14" t="n"/>
      <c r="L15" s="14" t="n"/>
    </row>
    <row r="16" ht="16.5" customHeight="1">
      <c r="A16" s="14" t="n"/>
      <c r="B16" s="14" t="n"/>
      <c r="C16" s="14" t="n"/>
      <c r="D16" s="14" t="n"/>
      <c r="E16" s="61" t="n"/>
      <c r="F16" s="61" t="n"/>
      <c r="G16" s="62">
        <f>E16-F16</f>
        <v/>
      </c>
      <c r="H16" s="60" t="n"/>
      <c r="I16" s="13">
        <f>IF(A16="","",IF(G16&lt;=0,"已结清",IF(H16&lt;TODAY(),"已逾期","未到期")))</f>
        <v/>
      </c>
      <c r="J16" s="36">
        <f>IF(OR(A16="",G16&lt;=0),0,MAX(0,TODAY()-H16))</f>
        <v/>
      </c>
      <c r="K16" s="14" t="n"/>
      <c r="L16" s="14" t="n"/>
    </row>
    <row r="17" ht="16.5" customHeight="1">
      <c r="A17" s="14" t="n"/>
      <c r="B17" s="14" t="n"/>
      <c r="C17" s="14" t="n"/>
      <c r="D17" s="14" t="n"/>
      <c r="E17" s="61" t="n"/>
      <c r="F17" s="61" t="n"/>
      <c r="G17" s="62">
        <f>E17-F17</f>
        <v/>
      </c>
      <c r="H17" s="60" t="n"/>
      <c r="I17" s="13">
        <f>IF(A17="","",IF(G17&lt;=0,"已结清",IF(H17&lt;TODAY(),"已逾期","未到期")))</f>
        <v/>
      </c>
      <c r="J17" s="36">
        <f>IF(OR(A17="",G17&lt;=0),0,MAX(0,TODAY()-H17))</f>
        <v/>
      </c>
      <c r="K17" s="14" t="n"/>
      <c r="L17" s="14" t="n"/>
    </row>
    <row r="18" ht="16.5" customHeight="1">
      <c r="A18" s="14" t="n"/>
      <c r="B18" s="14" t="n"/>
      <c r="C18" s="14" t="n"/>
      <c r="D18" s="14" t="n"/>
      <c r="E18" s="61" t="n"/>
      <c r="F18" s="61" t="n"/>
      <c r="G18" s="62">
        <f>E18-F18</f>
        <v/>
      </c>
      <c r="H18" s="60" t="n"/>
      <c r="I18" s="13">
        <f>IF(A18="","",IF(G18&lt;=0,"已结清",IF(H18&lt;TODAY(),"已逾期","未到期")))</f>
        <v/>
      </c>
      <c r="J18" s="36">
        <f>IF(OR(A18="",G18&lt;=0),0,MAX(0,TODAY()-H18))</f>
        <v/>
      </c>
      <c r="K18" s="14" t="n"/>
      <c r="L18" s="14" t="n"/>
    </row>
    <row r="19" ht="16.5" customHeight="1">
      <c r="A19" s="14" t="n"/>
      <c r="B19" s="14" t="n"/>
      <c r="C19" s="14" t="n"/>
      <c r="D19" s="14" t="n"/>
      <c r="E19" s="61" t="n"/>
      <c r="F19" s="61" t="n"/>
      <c r="G19" s="62">
        <f>E19-F19</f>
        <v/>
      </c>
      <c r="H19" s="60" t="n"/>
      <c r="I19" s="13">
        <f>IF(A19="","",IF(G19&lt;=0,"已结清",IF(H19&lt;TODAY(),"已逾期","未到期")))</f>
        <v/>
      </c>
      <c r="J19" s="36">
        <f>IF(OR(A19="",G19&lt;=0),0,MAX(0,TODAY()-H19))</f>
        <v/>
      </c>
      <c r="K19" s="14" t="n"/>
      <c r="L19" s="14" t="n"/>
    </row>
    <row r="20" ht="16.5" customHeight="1">
      <c r="A20" s="14" t="n"/>
      <c r="B20" s="14" t="n"/>
      <c r="C20" s="14" t="n"/>
      <c r="D20" s="14" t="n"/>
      <c r="E20" s="61" t="n"/>
      <c r="F20" s="61" t="n"/>
      <c r="G20" s="62">
        <f>E20-F20</f>
        <v/>
      </c>
      <c r="H20" s="60" t="n"/>
      <c r="I20" s="13">
        <f>IF(A20="","",IF(G20&lt;=0,"已结清",IF(H20&lt;TODAY(),"已逾期","未到期")))</f>
        <v/>
      </c>
      <c r="J20" s="36">
        <f>IF(OR(A20="",G20&lt;=0),0,MAX(0,TODAY()-H20))</f>
        <v/>
      </c>
      <c r="K20" s="14" t="n"/>
      <c r="L20" s="14" t="n"/>
    </row>
    <row r="21" ht="16.5" customHeight="1">
      <c r="A21" s="14" t="n"/>
      <c r="B21" s="14" t="n"/>
      <c r="C21" s="14" t="n"/>
      <c r="D21" s="14" t="n"/>
      <c r="E21" s="61" t="n"/>
      <c r="F21" s="61" t="n"/>
      <c r="G21" s="62">
        <f>E21-F21</f>
        <v/>
      </c>
      <c r="H21" s="60" t="n"/>
      <c r="I21" s="13">
        <f>IF(A21="","",IF(G21&lt;=0,"已结清",IF(H21&lt;TODAY(),"已逾期","未到期")))</f>
        <v/>
      </c>
      <c r="J21" s="36">
        <f>IF(OR(A21="",G21&lt;=0),0,MAX(0,TODAY()-H21))</f>
        <v/>
      </c>
      <c r="K21" s="14" t="n"/>
      <c r="L21" s="14" t="n"/>
    </row>
    <row r="22" ht="16.5" customHeight="1">
      <c r="A22" s="14" t="n"/>
      <c r="B22" s="14" t="n"/>
      <c r="C22" s="14" t="n"/>
      <c r="D22" s="14" t="n"/>
      <c r="E22" s="61" t="n"/>
      <c r="F22" s="61" t="n"/>
      <c r="G22" s="62">
        <f>E22-F22</f>
        <v/>
      </c>
      <c r="H22" s="60" t="n"/>
      <c r="I22" s="13">
        <f>IF(A22="","",IF(G22&lt;=0,"已结清",IF(H22&lt;TODAY(),"已逾期","未到期")))</f>
        <v/>
      </c>
      <c r="J22" s="36">
        <f>IF(OR(A22="",G22&lt;=0),0,MAX(0,TODAY()-H22))</f>
        <v/>
      </c>
      <c r="K22" s="14" t="n"/>
      <c r="L22" s="14" t="n"/>
    </row>
    <row r="23" ht="16.5" customHeight="1">
      <c r="A23" s="14" t="n"/>
      <c r="B23" s="14" t="n"/>
      <c r="C23" s="14" t="n"/>
      <c r="D23" s="14" t="n"/>
      <c r="E23" s="61" t="n"/>
      <c r="F23" s="61" t="n"/>
      <c r="G23" s="62">
        <f>E23-F23</f>
        <v/>
      </c>
      <c r="H23" s="60" t="n"/>
      <c r="I23" s="13">
        <f>IF(A23="","",IF(G23&lt;=0,"已结清",IF(H23&lt;TODAY(),"已逾期","未到期")))</f>
        <v/>
      </c>
      <c r="J23" s="36">
        <f>IF(OR(A23="",G23&lt;=0),0,MAX(0,TODAY()-H23))</f>
        <v/>
      </c>
      <c r="K23" s="14" t="n"/>
      <c r="L23" s="14" t="n"/>
    </row>
    <row r="24" ht="16.5" customHeight="1">
      <c r="A24" s="14" t="n"/>
      <c r="B24" s="14" t="n"/>
      <c r="C24" s="14" t="n"/>
      <c r="D24" s="14" t="n"/>
      <c r="E24" s="61" t="n"/>
      <c r="F24" s="61" t="n"/>
      <c r="G24" s="62">
        <f>E24-F24</f>
        <v/>
      </c>
      <c r="H24" s="60" t="n"/>
      <c r="I24" s="13">
        <f>IF(A24="","",IF(G24&lt;=0,"已结清",IF(H24&lt;TODAY(),"已逾期","未到期")))</f>
        <v/>
      </c>
      <c r="J24" s="36">
        <f>IF(OR(A24="",G24&lt;=0),0,MAX(0,TODAY()-H24))</f>
        <v/>
      </c>
      <c r="K24" s="14" t="n"/>
      <c r="L24" s="14" t="n"/>
    </row>
    <row r="25" ht="16.5" customHeight="1">
      <c r="A25" s="14" t="n"/>
      <c r="B25" s="14" t="n"/>
      <c r="C25" s="14" t="n"/>
      <c r="D25" s="14" t="n"/>
      <c r="E25" s="61" t="n"/>
      <c r="F25" s="61" t="n"/>
      <c r="G25" s="62">
        <f>E25-F25</f>
        <v/>
      </c>
      <c r="H25" s="60" t="n"/>
      <c r="I25" s="13">
        <f>IF(A25="","",IF(G25&lt;=0,"已结清",IF(H25&lt;TODAY(),"已逾期","未到期")))</f>
        <v/>
      </c>
      <c r="J25" s="36">
        <f>IF(OR(A25="",G25&lt;=0),0,MAX(0,TODAY()-H25))</f>
        <v/>
      </c>
      <c r="K25" s="14" t="n"/>
      <c r="L25" s="14" t="n"/>
    </row>
    <row r="26" ht="16.5" customHeight="1">
      <c r="A26" s="14" t="n"/>
      <c r="B26" s="14" t="n"/>
      <c r="C26" s="14" t="n"/>
      <c r="D26" s="14" t="n"/>
      <c r="E26" s="61" t="n"/>
      <c r="F26" s="61" t="n"/>
      <c r="G26" s="62">
        <f>E26-F26</f>
        <v/>
      </c>
      <c r="H26" s="60" t="n"/>
      <c r="I26" s="13">
        <f>IF(A26="","",IF(G26&lt;=0,"已结清",IF(H26&lt;TODAY(),"已逾期","未到期")))</f>
        <v/>
      </c>
      <c r="J26" s="36">
        <f>IF(OR(A26="",G26&lt;=0),0,MAX(0,TODAY()-H26))</f>
        <v/>
      </c>
      <c r="K26" s="14" t="n"/>
      <c r="L26" s="14" t="n"/>
    </row>
    <row r="27" ht="16.5" customHeight="1">
      <c r="A27" s="14" t="n"/>
      <c r="B27" s="14" t="n"/>
      <c r="C27" s="14" t="n"/>
      <c r="D27" s="14" t="n"/>
      <c r="E27" s="61" t="n"/>
      <c r="F27" s="61" t="n"/>
      <c r="G27" s="62">
        <f>E27-F27</f>
        <v/>
      </c>
      <c r="H27" s="60" t="n"/>
      <c r="I27" s="13">
        <f>IF(A27="","",IF(G27&lt;=0,"已结清",IF(H27&lt;TODAY(),"已逾期","未到期")))</f>
        <v/>
      </c>
      <c r="J27" s="36">
        <f>IF(OR(A27="",G27&lt;=0),0,MAX(0,TODAY()-H27))</f>
        <v/>
      </c>
      <c r="K27" s="14" t="n"/>
      <c r="L27" s="14" t="n"/>
    </row>
    <row r="28" ht="16.5" customHeight="1">
      <c r="A28" s="14" t="n"/>
      <c r="B28" s="14" t="n"/>
      <c r="C28" s="14" t="n"/>
      <c r="D28" s="14" t="n"/>
      <c r="E28" s="61" t="n"/>
      <c r="F28" s="61" t="n"/>
      <c r="G28" s="62">
        <f>E28-F28</f>
        <v/>
      </c>
      <c r="H28" s="60" t="n"/>
      <c r="I28" s="13">
        <f>IF(A28="","",IF(G28&lt;=0,"已结清",IF(H28&lt;TODAY(),"已逾期","未到期")))</f>
        <v/>
      </c>
      <c r="J28" s="36">
        <f>IF(OR(A28="",G28&lt;=0),0,MAX(0,TODAY()-H28))</f>
        <v/>
      </c>
      <c r="K28" s="14" t="n"/>
      <c r="L28" s="14" t="n"/>
    </row>
    <row r="29" ht="16.5" customHeight="1">
      <c r="A29" s="14" t="n"/>
      <c r="B29" s="14" t="n"/>
      <c r="C29" s="14" t="n"/>
      <c r="D29" s="14" t="n"/>
      <c r="E29" s="61" t="n"/>
      <c r="F29" s="61" t="n"/>
      <c r="G29" s="62">
        <f>E29-F29</f>
        <v/>
      </c>
      <c r="H29" s="60" t="n"/>
      <c r="I29" s="13">
        <f>IF(A29="","",IF(G29&lt;=0,"已结清",IF(H29&lt;TODAY(),"已逾期","未到期")))</f>
        <v/>
      </c>
      <c r="J29" s="36">
        <f>IF(OR(A29="",G29&lt;=0),0,MAX(0,TODAY()-H29))</f>
        <v/>
      </c>
      <c r="K29" s="14" t="n"/>
      <c r="L29" s="14" t="n"/>
    </row>
    <row r="30" ht="16.5" customHeight="1">
      <c r="A30" s="14" t="n"/>
      <c r="B30" s="14" t="n"/>
      <c r="C30" s="14" t="n"/>
      <c r="D30" s="14" t="n"/>
      <c r="E30" s="61" t="n"/>
      <c r="F30" s="61" t="n"/>
      <c r="G30" s="62">
        <f>E30-F30</f>
        <v/>
      </c>
      <c r="H30" s="60" t="n"/>
      <c r="I30" s="13">
        <f>IF(A30="","",IF(G30&lt;=0,"已结清",IF(H30&lt;TODAY(),"已逾期","未到期")))</f>
        <v/>
      </c>
      <c r="J30" s="36">
        <f>IF(OR(A30="",G30&lt;=0),0,MAX(0,TODAY()-H30))</f>
        <v/>
      </c>
      <c r="K30" s="14" t="n"/>
      <c r="L30" s="14" t="n"/>
    </row>
    <row r="31" ht="16.5" customHeight="1">
      <c r="A31" s="14" t="n"/>
      <c r="B31" s="14" t="n"/>
      <c r="C31" s="14" t="n"/>
      <c r="D31" s="14" t="n"/>
      <c r="E31" s="61" t="n"/>
      <c r="F31" s="61" t="n"/>
      <c r="G31" s="62">
        <f>E31-F31</f>
        <v/>
      </c>
      <c r="H31" s="60" t="n"/>
      <c r="I31" s="13">
        <f>IF(A31="","",IF(G31&lt;=0,"已结清",IF(H31&lt;TODAY(),"已逾期","未到期")))</f>
        <v/>
      </c>
      <c r="J31" s="36">
        <f>IF(OR(A31="",G31&lt;=0),0,MAX(0,TODAY()-H31))</f>
        <v/>
      </c>
      <c r="K31" s="14" t="n"/>
      <c r="L31" s="14" t="n"/>
    </row>
    <row r="32" ht="16.5" customHeight="1">
      <c r="A32" s="14" t="n"/>
      <c r="B32" s="14" t="n"/>
      <c r="C32" s="14" t="n"/>
      <c r="D32" s="14" t="n"/>
      <c r="E32" s="61" t="n"/>
      <c r="F32" s="61" t="n"/>
      <c r="G32" s="62">
        <f>E32-F32</f>
        <v/>
      </c>
      <c r="H32" s="60" t="n"/>
      <c r="I32" s="13">
        <f>IF(A32="","",IF(G32&lt;=0,"已结清",IF(H32&lt;TODAY(),"已逾期","未到期")))</f>
        <v/>
      </c>
      <c r="J32" s="36">
        <f>IF(OR(A32="",G32&lt;=0),0,MAX(0,TODAY()-H32))</f>
        <v/>
      </c>
      <c r="K32" s="14" t="n"/>
      <c r="L32" s="14" t="n"/>
    </row>
    <row r="33" ht="16.5" customHeight="1">
      <c r="A33" s="14" t="n"/>
      <c r="B33" s="14" t="n"/>
      <c r="C33" s="14" t="n"/>
      <c r="D33" s="14" t="n"/>
      <c r="E33" s="61" t="n"/>
      <c r="F33" s="61" t="n"/>
      <c r="G33" s="62">
        <f>E33-F33</f>
        <v/>
      </c>
      <c r="H33" s="60" t="n"/>
      <c r="I33" s="13">
        <f>IF(A33="","",IF(G33&lt;=0,"已结清",IF(H33&lt;TODAY(),"已逾期","未到期")))</f>
        <v/>
      </c>
      <c r="J33" s="36">
        <f>IF(OR(A33="",G33&lt;=0),0,MAX(0,TODAY()-H33))</f>
        <v/>
      </c>
      <c r="K33" s="14" t="n"/>
      <c r="L33" s="14" t="n"/>
    </row>
    <row r="34" ht="16.5" customHeight="1">
      <c r="A34" s="14" t="n"/>
      <c r="B34" s="14" t="n"/>
      <c r="C34" s="14" t="n"/>
      <c r="D34" s="14" t="n"/>
      <c r="E34" s="61" t="n"/>
      <c r="F34" s="61" t="n"/>
      <c r="G34" s="62">
        <f>E34-F34</f>
        <v/>
      </c>
      <c r="H34" s="60" t="n"/>
      <c r="I34" s="13">
        <f>IF(A34="","",IF(G34&lt;=0,"已结清",IF(H34&lt;TODAY(),"已逾期","未到期")))</f>
        <v/>
      </c>
      <c r="J34" s="36">
        <f>IF(OR(A34="",G34&lt;=0),0,MAX(0,TODAY()-H34))</f>
        <v/>
      </c>
      <c r="K34" s="14" t="n"/>
      <c r="L34" s="14" t="n"/>
    </row>
    <row r="35" ht="16.5" customHeight="1">
      <c r="A35" s="14" t="n"/>
      <c r="B35" s="14" t="n"/>
      <c r="C35" s="14" t="n"/>
      <c r="D35" s="14" t="n"/>
      <c r="E35" s="61" t="n"/>
      <c r="F35" s="61" t="n"/>
      <c r="G35" s="62">
        <f>E35-F35</f>
        <v/>
      </c>
      <c r="H35" s="60" t="n"/>
      <c r="I35" s="13">
        <f>IF(A35="","",IF(G35&lt;=0,"已结清",IF(H35&lt;TODAY(),"已逾期","未到期")))</f>
        <v/>
      </c>
      <c r="J35" s="36">
        <f>IF(OR(A35="",G35&lt;=0),0,MAX(0,TODAY()-H35))</f>
        <v/>
      </c>
      <c r="K35" s="14" t="n"/>
      <c r="L35" s="14" t="n"/>
    </row>
    <row r="36" ht="16.5" customHeight="1">
      <c r="A36" s="14" t="n"/>
      <c r="B36" s="14" t="n"/>
      <c r="C36" s="14" t="n"/>
      <c r="D36" s="14" t="n"/>
      <c r="E36" s="61" t="n"/>
      <c r="F36" s="61" t="n"/>
      <c r="G36" s="62">
        <f>E36-F36</f>
        <v/>
      </c>
      <c r="H36" s="60" t="n"/>
      <c r="I36" s="13">
        <f>IF(A36="","",IF(G36&lt;=0,"已结清",IF(H36&lt;TODAY(),"已逾期","未到期")))</f>
        <v/>
      </c>
      <c r="J36" s="36">
        <f>IF(OR(A36="",G36&lt;=0),0,MAX(0,TODAY()-H36))</f>
        <v/>
      </c>
      <c r="K36" s="14" t="n"/>
      <c r="L36" s="14" t="n"/>
    </row>
    <row r="37" ht="16.5" customHeight="1">
      <c r="A37" s="14" t="n"/>
      <c r="B37" s="14" t="n"/>
      <c r="C37" s="14" t="n"/>
      <c r="D37" s="14" t="n"/>
      <c r="E37" s="61" t="n"/>
      <c r="F37" s="61" t="n"/>
      <c r="G37" s="62">
        <f>E37-F37</f>
        <v/>
      </c>
      <c r="H37" s="60" t="n"/>
      <c r="I37" s="13">
        <f>IF(A37="","",IF(G37&lt;=0,"已结清",IF(H37&lt;TODAY(),"已逾期","未到期")))</f>
        <v/>
      </c>
      <c r="J37" s="36">
        <f>IF(OR(A37="",G37&lt;=0),0,MAX(0,TODAY()-H37))</f>
        <v/>
      </c>
      <c r="K37" s="14" t="n"/>
      <c r="L37" s="14" t="n"/>
    </row>
    <row r="38" ht="16.5" customHeight="1">
      <c r="A38" s="14" t="n"/>
      <c r="B38" s="14" t="n"/>
      <c r="C38" s="14" t="n"/>
      <c r="D38" s="14" t="n"/>
      <c r="E38" s="61" t="n"/>
      <c r="F38" s="61" t="n"/>
      <c r="G38" s="62">
        <f>E38-F38</f>
        <v/>
      </c>
      <c r="H38" s="60" t="n"/>
      <c r="I38" s="13">
        <f>IF(A38="","",IF(G38&lt;=0,"已结清",IF(H38&lt;TODAY(),"已逾期","未到期")))</f>
        <v/>
      </c>
      <c r="J38" s="36">
        <f>IF(OR(A38="",G38&lt;=0),0,MAX(0,TODAY()-H38))</f>
        <v/>
      </c>
      <c r="K38" s="14" t="n"/>
      <c r="L38" s="14" t="n"/>
    </row>
    <row r="39" ht="16.5" customHeight="1">
      <c r="A39" s="14" t="n"/>
      <c r="B39" s="14" t="n"/>
      <c r="C39" s="14" t="n"/>
      <c r="D39" s="14" t="n"/>
      <c r="E39" s="61" t="n"/>
      <c r="F39" s="61" t="n"/>
      <c r="G39" s="62">
        <f>E39-F39</f>
        <v/>
      </c>
      <c r="H39" s="60" t="n"/>
      <c r="I39" s="13">
        <f>IF(A39="","",IF(G39&lt;=0,"已结清",IF(H39&lt;TODAY(),"已逾期","未到期")))</f>
        <v/>
      </c>
      <c r="J39" s="36">
        <f>IF(OR(A39="",G39&lt;=0),0,MAX(0,TODAY()-H39))</f>
        <v/>
      </c>
      <c r="K39" s="14" t="n"/>
      <c r="L39" s="14" t="n"/>
    </row>
    <row r="40" ht="16.5" customHeight="1">
      <c r="A40" s="14" t="n"/>
      <c r="B40" s="14" t="n"/>
      <c r="C40" s="14" t="n"/>
      <c r="D40" s="14" t="n"/>
      <c r="E40" s="61" t="n"/>
      <c r="F40" s="61" t="n"/>
      <c r="G40" s="62">
        <f>E40-F40</f>
        <v/>
      </c>
      <c r="H40" s="60" t="n"/>
      <c r="I40" s="13">
        <f>IF(A40="","",IF(G40&lt;=0,"已结清",IF(H40&lt;TODAY(),"已逾期","未到期")))</f>
        <v/>
      </c>
      <c r="J40" s="36">
        <f>IF(OR(A40="",G40&lt;=0),0,MAX(0,TODAY()-H40))</f>
        <v/>
      </c>
      <c r="K40" s="14" t="n"/>
      <c r="L40" s="14" t="n"/>
    </row>
    <row r="41" ht="16.5" customHeight="1">
      <c r="A41" s="14" t="n"/>
      <c r="B41" s="14" t="n"/>
      <c r="C41" s="14" t="n"/>
      <c r="D41" s="14" t="n"/>
      <c r="E41" s="61" t="n"/>
      <c r="F41" s="61" t="n"/>
      <c r="G41" s="62">
        <f>E41-F41</f>
        <v/>
      </c>
      <c r="H41" s="60" t="n"/>
      <c r="I41" s="13">
        <f>IF(A41="","",IF(G41&lt;=0,"已结清",IF(H41&lt;TODAY(),"已逾期","未到期")))</f>
        <v/>
      </c>
      <c r="J41" s="36">
        <f>IF(OR(A41="",G41&lt;=0),0,MAX(0,TODAY()-H41))</f>
        <v/>
      </c>
      <c r="K41" s="14" t="n"/>
      <c r="L41" s="14" t="n"/>
    </row>
    <row r="42" ht="16.5" customHeight="1">
      <c r="A42" s="14" t="n"/>
      <c r="B42" s="14" t="n"/>
      <c r="C42" s="14" t="n"/>
      <c r="D42" s="14" t="n"/>
      <c r="E42" s="61" t="n"/>
      <c r="F42" s="61" t="n"/>
      <c r="G42" s="62">
        <f>E42-F42</f>
        <v/>
      </c>
      <c r="H42" s="60" t="n"/>
      <c r="I42" s="13">
        <f>IF(A42="","",IF(G42&lt;=0,"已结清",IF(H42&lt;TODAY(),"已逾期","未到期")))</f>
        <v/>
      </c>
      <c r="J42" s="36">
        <f>IF(OR(A42="",G42&lt;=0),0,MAX(0,TODAY()-H42))</f>
        <v/>
      </c>
      <c r="K42" s="14" t="n"/>
      <c r="L42" s="14" t="n"/>
    </row>
    <row r="43" ht="16.5" customHeight="1">
      <c r="A43" s="14" t="n"/>
      <c r="B43" s="14" t="n"/>
      <c r="C43" s="14" t="n"/>
      <c r="D43" s="14" t="n"/>
      <c r="E43" s="61" t="n"/>
      <c r="F43" s="61" t="n"/>
      <c r="G43" s="62">
        <f>E43-F43</f>
        <v/>
      </c>
      <c r="H43" s="60" t="n"/>
      <c r="I43" s="13">
        <f>IF(A43="","",IF(G43&lt;=0,"已结清",IF(H43&lt;TODAY(),"已逾期","未到期")))</f>
        <v/>
      </c>
      <c r="J43" s="36">
        <f>IF(OR(A43="",G43&lt;=0),0,MAX(0,TODAY()-H43))</f>
        <v/>
      </c>
      <c r="K43" s="14" t="n"/>
      <c r="L43" s="14" t="n"/>
    </row>
    <row r="44" ht="16.5" customHeight="1">
      <c r="A44" s="14" t="n"/>
      <c r="B44" s="14" t="n"/>
      <c r="C44" s="14" t="n"/>
      <c r="D44" s="14" t="n"/>
      <c r="E44" s="61" t="n"/>
      <c r="F44" s="61" t="n"/>
      <c r="G44" s="62">
        <f>E44-F44</f>
        <v/>
      </c>
      <c r="H44" s="60" t="n"/>
      <c r="I44" s="13">
        <f>IF(A44="","",IF(G44&lt;=0,"已结清",IF(H44&lt;TODAY(),"已逾期","未到期")))</f>
        <v/>
      </c>
      <c r="J44" s="36">
        <f>IF(OR(A44="",G44&lt;=0),0,MAX(0,TODAY()-H44))</f>
        <v/>
      </c>
      <c r="K44" s="14" t="n"/>
      <c r="L44" s="14" t="n"/>
    </row>
    <row r="45" ht="16.5" customHeight="1">
      <c r="A45" s="14" t="n"/>
      <c r="B45" s="14" t="n"/>
      <c r="C45" s="14" t="n"/>
      <c r="D45" s="14" t="n"/>
      <c r="E45" s="61" t="n"/>
      <c r="F45" s="61" t="n"/>
      <c r="G45" s="62">
        <f>E45-F45</f>
        <v/>
      </c>
      <c r="H45" s="60" t="n"/>
      <c r="I45" s="13">
        <f>IF(A45="","",IF(G45&lt;=0,"已结清",IF(H45&lt;TODAY(),"已逾期","未到期")))</f>
        <v/>
      </c>
      <c r="J45" s="36">
        <f>IF(OR(A45="",G45&lt;=0),0,MAX(0,TODAY()-H45))</f>
        <v/>
      </c>
      <c r="K45" s="14" t="n"/>
      <c r="L45" s="14" t="n"/>
    </row>
    <row r="46" ht="16.5" customHeight="1">
      <c r="A46" s="14" t="n"/>
      <c r="B46" s="14" t="n"/>
      <c r="C46" s="14" t="n"/>
      <c r="D46" s="14" t="n"/>
      <c r="E46" s="61" t="n"/>
      <c r="F46" s="61" t="n"/>
      <c r="G46" s="62">
        <f>E46-F46</f>
        <v/>
      </c>
      <c r="H46" s="60" t="n"/>
      <c r="I46" s="13">
        <f>IF(A46="","",IF(G46&lt;=0,"已结清",IF(H46&lt;TODAY(),"已逾期","未到期")))</f>
        <v/>
      </c>
      <c r="J46" s="36">
        <f>IF(OR(A46="",G46&lt;=0),0,MAX(0,TODAY()-H46))</f>
        <v/>
      </c>
      <c r="K46" s="14" t="n"/>
      <c r="L46" s="14" t="n"/>
    </row>
    <row r="47" ht="16.5" customHeight="1">
      <c r="A47" s="14" t="n"/>
      <c r="B47" s="14" t="n"/>
      <c r="C47" s="14" t="n"/>
      <c r="D47" s="14" t="n"/>
      <c r="E47" s="61" t="n"/>
      <c r="F47" s="61" t="n"/>
      <c r="G47" s="62">
        <f>E47-F47</f>
        <v/>
      </c>
      <c r="H47" s="60" t="n"/>
      <c r="I47" s="13">
        <f>IF(A47="","",IF(G47&lt;=0,"已结清",IF(H47&lt;TODAY(),"已逾期","未到期")))</f>
        <v/>
      </c>
      <c r="J47" s="36">
        <f>IF(OR(A47="",G47&lt;=0),0,MAX(0,TODAY()-H47))</f>
        <v/>
      </c>
      <c r="K47" s="14" t="n"/>
      <c r="L47" s="14" t="n"/>
    </row>
    <row r="48" ht="16.5" customHeight="1">
      <c r="A48" s="14" t="n"/>
      <c r="B48" s="14" t="n"/>
      <c r="C48" s="14" t="n"/>
      <c r="D48" s="14" t="n"/>
      <c r="E48" s="61" t="n"/>
      <c r="F48" s="61" t="n"/>
      <c r="G48" s="62">
        <f>E48-F48</f>
        <v/>
      </c>
      <c r="H48" s="60" t="n"/>
      <c r="I48" s="13">
        <f>IF(A48="","",IF(G48&lt;=0,"已结清",IF(H48&lt;TODAY(),"已逾期","未到期")))</f>
        <v/>
      </c>
      <c r="J48" s="36">
        <f>IF(OR(A48="",G48&lt;=0),0,MAX(0,TODAY()-H48))</f>
        <v/>
      </c>
      <c r="K48" s="14" t="n"/>
      <c r="L48" s="14" t="n"/>
    </row>
    <row r="49" ht="16.5" customHeight="1">
      <c r="A49" s="14" t="n"/>
      <c r="B49" s="14" t="n"/>
      <c r="C49" s="14" t="n"/>
      <c r="D49" s="14" t="n"/>
      <c r="E49" s="61" t="n"/>
      <c r="F49" s="61" t="n"/>
      <c r="G49" s="62">
        <f>E49-F49</f>
        <v/>
      </c>
      <c r="H49" s="60" t="n"/>
      <c r="I49" s="13">
        <f>IF(A49="","",IF(G49&lt;=0,"已结清",IF(H49&lt;TODAY(),"已逾期","未到期")))</f>
        <v/>
      </c>
      <c r="J49" s="36">
        <f>IF(OR(A49="",G49&lt;=0),0,MAX(0,TODAY()-H49))</f>
        <v/>
      </c>
      <c r="K49" s="14" t="n"/>
      <c r="L49" s="14" t="n"/>
    </row>
    <row r="50" ht="16.5" customHeight="1">
      <c r="A50" s="14" t="n"/>
      <c r="B50" s="14" t="n"/>
      <c r="C50" s="14" t="n"/>
      <c r="D50" s="14" t="n"/>
      <c r="E50" s="61" t="n"/>
      <c r="F50" s="61" t="n"/>
      <c r="G50" s="62">
        <f>E50-F50</f>
        <v/>
      </c>
      <c r="H50" s="60" t="n"/>
      <c r="I50" s="13">
        <f>IF(A50="","",IF(G50&lt;=0,"已结清",IF(H50&lt;TODAY(),"已逾期","未到期")))</f>
        <v/>
      </c>
      <c r="J50" s="36">
        <f>IF(OR(A50="",G50&lt;=0),0,MAX(0,TODAY()-H50))</f>
        <v/>
      </c>
      <c r="K50" s="14" t="n"/>
      <c r="L50" s="14" t="n"/>
    </row>
    <row r="51" ht="16.5" customHeight="1">
      <c r="A51" s="14" t="n"/>
      <c r="B51" s="14" t="n"/>
      <c r="C51" s="14" t="n"/>
      <c r="D51" s="14" t="n"/>
      <c r="E51" s="61" t="n"/>
      <c r="F51" s="61" t="n"/>
      <c r="G51" s="62">
        <f>E51-F51</f>
        <v/>
      </c>
      <c r="H51" s="60" t="n"/>
      <c r="I51" s="13">
        <f>IF(A51="","",IF(G51&lt;=0,"已结清",IF(H51&lt;TODAY(),"已逾期","未到期")))</f>
        <v/>
      </c>
      <c r="J51" s="36">
        <f>IF(OR(A51="",G51&lt;=0),0,MAX(0,TODAY()-H51))</f>
        <v/>
      </c>
      <c r="K51" s="14" t="n"/>
      <c r="L51" s="14" t="n"/>
    </row>
    <row r="52" ht="16.5" customHeight="1">
      <c r="A52" s="14" t="n"/>
      <c r="B52" s="14" t="n"/>
      <c r="C52" s="14" t="n"/>
      <c r="D52" s="14" t="n"/>
      <c r="E52" s="61" t="n"/>
      <c r="F52" s="61" t="n"/>
      <c r="G52" s="62">
        <f>E52-F52</f>
        <v/>
      </c>
      <c r="H52" s="60" t="n"/>
      <c r="I52" s="13">
        <f>IF(A52="","",IF(G52&lt;=0,"已结清",IF(H52&lt;TODAY(),"已逾期","未到期")))</f>
        <v/>
      </c>
      <c r="J52" s="36">
        <f>IF(OR(A52="",G52&lt;=0),0,MAX(0,TODAY()-H52))</f>
        <v/>
      </c>
      <c r="K52" s="14" t="n"/>
      <c r="L52" s="14" t="n"/>
    </row>
    <row r="53" ht="16.5" customHeight="1">
      <c r="A53" s="14" t="n"/>
      <c r="B53" s="14" t="n"/>
      <c r="C53" s="14" t="n"/>
      <c r="D53" s="14" t="n"/>
      <c r="E53" s="61" t="n"/>
      <c r="F53" s="61" t="n"/>
      <c r="G53" s="62">
        <f>E53-F53</f>
        <v/>
      </c>
      <c r="H53" s="60" t="n"/>
      <c r="I53" s="13">
        <f>IF(A53="","",IF(G53&lt;=0,"已结清",IF(H53&lt;TODAY(),"已逾期","未到期")))</f>
        <v/>
      </c>
      <c r="J53" s="36">
        <f>IF(OR(A53="",G53&lt;=0),0,MAX(0,TODAY()-H53))</f>
        <v/>
      </c>
      <c r="K53" s="14" t="n"/>
      <c r="L53" s="14" t="n"/>
    </row>
    <row r="54" ht="16.5" customHeight="1">
      <c r="A54" s="14" t="n"/>
      <c r="B54" s="14" t="n"/>
      <c r="C54" s="14" t="n"/>
      <c r="D54" s="14" t="n"/>
      <c r="E54" s="61" t="n"/>
      <c r="F54" s="61" t="n"/>
      <c r="G54" s="62">
        <f>E54-F54</f>
        <v/>
      </c>
      <c r="H54" s="60" t="n"/>
      <c r="I54" s="13">
        <f>IF(A54="","",IF(G54&lt;=0,"已结清",IF(H54&lt;TODAY(),"已逾期","未到期")))</f>
        <v/>
      </c>
      <c r="J54" s="36">
        <f>IF(OR(A54="",G54&lt;=0),0,MAX(0,TODAY()-H54))</f>
        <v/>
      </c>
      <c r="K54" s="14" t="n"/>
      <c r="L54" s="14" t="n"/>
    </row>
    <row r="55" ht="16.5" customHeight="1">
      <c r="A55" s="14" t="n"/>
      <c r="B55" s="14" t="n"/>
      <c r="C55" s="14" t="n"/>
      <c r="D55" s="14" t="n"/>
      <c r="E55" s="61" t="n"/>
      <c r="F55" s="61" t="n"/>
      <c r="G55" s="62">
        <f>E55-F55</f>
        <v/>
      </c>
      <c r="H55" s="60" t="n"/>
      <c r="I55" s="13">
        <f>IF(A55="","",IF(G55&lt;=0,"已结清",IF(H55&lt;TODAY(),"已逾期","未到期")))</f>
        <v/>
      </c>
      <c r="J55" s="36">
        <f>IF(OR(A55="",G55&lt;=0),0,MAX(0,TODAY()-H55))</f>
        <v/>
      </c>
      <c r="K55" s="14" t="n"/>
      <c r="L55" s="14" t="n"/>
    </row>
    <row r="56" ht="16.5" customHeight="1">
      <c r="A56" s="14" t="n"/>
      <c r="B56" s="14" t="n"/>
      <c r="C56" s="14" t="n"/>
      <c r="D56" s="14" t="n"/>
      <c r="E56" s="61" t="n"/>
      <c r="F56" s="61" t="n"/>
      <c r="G56" s="62">
        <f>E56-F56</f>
        <v/>
      </c>
      <c r="H56" s="60" t="n"/>
      <c r="I56" s="13">
        <f>IF(A56="","",IF(G56&lt;=0,"已结清",IF(H56&lt;TODAY(),"已逾期","未到期")))</f>
        <v/>
      </c>
      <c r="J56" s="36">
        <f>IF(OR(A56="",G56&lt;=0),0,MAX(0,TODAY()-H56))</f>
        <v/>
      </c>
      <c r="K56" s="14" t="n"/>
      <c r="L56" s="14" t="n"/>
    </row>
    <row r="57" ht="16.5" customHeight="1">
      <c r="A57" s="14" t="n"/>
      <c r="B57" s="14" t="n"/>
      <c r="C57" s="14" t="n"/>
      <c r="D57" s="14" t="n"/>
      <c r="E57" s="61" t="n"/>
      <c r="F57" s="61" t="n"/>
      <c r="G57" s="62">
        <f>E57-F57</f>
        <v/>
      </c>
      <c r="H57" s="60" t="n"/>
      <c r="I57" s="13">
        <f>IF(A57="","",IF(G57&lt;=0,"已结清",IF(H57&lt;TODAY(),"已逾期","未到期")))</f>
        <v/>
      </c>
      <c r="J57" s="36">
        <f>IF(OR(A57="",G57&lt;=0),0,MAX(0,TODAY()-H57))</f>
        <v/>
      </c>
      <c r="K57" s="14" t="n"/>
      <c r="L57" s="14" t="n"/>
    </row>
    <row r="58" ht="16.5" customHeight="1">
      <c r="A58" s="14" t="n"/>
      <c r="B58" s="14" t="n"/>
      <c r="C58" s="14" t="n"/>
      <c r="D58" s="14" t="n"/>
      <c r="E58" s="61" t="n"/>
      <c r="F58" s="61" t="n"/>
      <c r="G58" s="62">
        <f>E58-F58</f>
        <v/>
      </c>
      <c r="H58" s="60" t="n"/>
      <c r="I58" s="13">
        <f>IF(A58="","",IF(G58&lt;=0,"已结清",IF(H58&lt;TODAY(),"已逾期","未到期")))</f>
        <v/>
      </c>
      <c r="J58" s="36">
        <f>IF(OR(A58="",G58&lt;=0),0,MAX(0,TODAY()-H58))</f>
        <v/>
      </c>
      <c r="K58" s="14" t="n"/>
      <c r="L58" s="14" t="n"/>
    </row>
    <row r="59" ht="16.5" customHeight="1">
      <c r="A59" s="14" t="n"/>
      <c r="B59" s="14" t="n"/>
      <c r="C59" s="14" t="n"/>
      <c r="D59" s="14" t="n"/>
      <c r="E59" s="61" t="n"/>
      <c r="F59" s="61" t="n"/>
      <c r="G59" s="62">
        <f>E59-F59</f>
        <v/>
      </c>
      <c r="H59" s="60" t="n"/>
      <c r="I59" s="13">
        <f>IF(A59="","",IF(G59&lt;=0,"已结清",IF(H59&lt;TODAY(),"已逾期","未到期")))</f>
        <v/>
      </c>
      <c r="J59" s="36">
        <f>IF(OR(A59="",G59&lt;=0),0,MAX(0,TODAY()-H59))</f>
        <v/>
      </c>
      <c r="K59" s="14" t="n"/>
      <c r="L59" s="14" t="n"/>
    </row>
    <row r="60" ht="16.5" customHeight="1">
      <c r="A60" s="14" t="n"/>
      <c r="B60" s="14" t="n"/>
      <c r="C60" s="14" t="n"/>
      <c r="D60" s="14" t="n"/>
      <c r="E60" s="61" t="n"/>
      <c r="F60" s="61" t="n"/>
      <c r="G60" s="62">
        <f>E60-F60</f>
        <v/>
      </c>
      <c r="H60" s="60" t="n"/>
      <c r="I60" s="13">
        <f>IF(A60="","",IF(G60&lt;=0,"已结清",IF(H60&lt;TODAY(),"已逾期","未到期")))</f>
        <v/>
      </c>
      <c r="J60" s="36">
        <f>IF(OR(A60="",G60&lt;=0),0,MAX(0,TODAY()-H60))</f>
        <v/>
      </c>
      <c r="K60" s="14" t="n"/>
      <c r="L60" s="14" t="n"/>
    </row>
    <row r="61" ht="16.5" customHeight="1">
      <c r="A61" s="14" t="n"/>
      <c r="B61" s="14" t="n"/>
      <c r="C61" s="14" t="n"/>
      <c r="D61" s="14" t="n"/>
      <c r="E61" s="61" t="n"/>
      <c r="F61" s="61" t="n"/>
      <c r="G61" s="62">
        <f>E61-F61</f>
        <v/>
      </c>
      <c r="H61" s="60" t="n"/>
      <c r="I61" s="13">
        <f>IF(A61="","",IF(G61&lt;=0,"已结清",IF(H61&lt;TODAY(),"已逾期","未到期")))</f>
        <v/>
      </c>
      <c r="J61" s="36">
        <f>IF(OR(A61="",G61&lt;=0),0,MAX(0,TODAY()-H61))</f>
        <v/>
      </c>
      <c r="K61" s="14" t="n"/>
      <c r="L61" s="14" t="n"/>
    </row>
    <row r="62" ht="16.5" customHeight="1">
      <c r="A62" s="14" t="n"/>
      <c r="B62" s="14" t="n"/>
      <c r="C62" s="14" t="n"/>
      <c r="D62" s="14" t="n"/>
      <c r="E62" s="61" t="n"/>
      <c r="F62" s="61" t="n"/>
      <c r="G62" s="62">
        <f>E62-F62</f>
        <v/>
      </c>
      <c r="H62" s="60" t="n"/>
      <c r="I62" s="13">
        <f>IF(A62="","",IF(G62&lt;=0,"已结清",IF(H62&lt;TODAY(),"已逾期","未到期")))</f>
        <v/>
      </c>
      <c r="J62" s="36">
        <f>IF(OR(A62="",G62&lt;=0),0,MAX(0,TODAY()-H62))</f>
        <v/>
      </c>
      <c r="K62" s="14" t="n"/>
      <c r="L62" s="14" t="n"/>
    </row>
    <row r="63" ht="16.5" customHeight="1">
      <c r="A63" s="14" t="n"/>
      <c r="B63" s="14" t="n"/>
      <c r="C63" s="14" t="n"/>
      <c r="D63" s="14" t="n"/>
      <c r="E63" s="61" t="n"/>
      <c r="F63" s="61" t="n"/>
      <c r="G63" s="62">
        <f>E63-F63</f>
        <v/>
      </c>
      <c r="H63" s="60" t="n"/>
      <c r="I63" s="13">
        <f>IF(A63="","",IF(G63&lt;=0,"已结清",IF(H63&lt;TODAY(),"已逾期","未到期")))</f>
        <v/>
      </c>
      <c r="J63" s="36">
        <f>IF(OR(A63="",G63&lt;=0),0,MAX(0,TODAY()-H63))</f>
        <v/>
      </c>
      <c r="K63" s="14" t="n"/>
      <c r="L63" s="14" t="n"/>
    </row>
    <row r="64" ht="16.5" customHeight="1">
      <c r="A64" s="14" t="n"/>
      <c r="B64" s="14" t="n"/>
      <c r="C64" s="14" t="n"/>
      <c r="D64" s="14" t="n"/>
      <c r="E64" s="61" t="n"/>
      <c r="F64" s="61" t="n"/>
      <c r="G64" s="62">
        <f>E64-F64</f>
        <v/>
      </c>
      <c r="H64" s="60" t="n"/>
      <c r="I64" s="13">
        <f>IF(A64="","",IF(G64&lt;=0,"已结清",IF(H64&lt;TODAY(),"已逾期","未到期")))</f>
        <v/>
      </c>
      <c r="J64" s="36">
        <f>IF(OR(A64="",G64&lt;=0),0,MAX(0,TODAY()-H64))</f>
        <v/>
      </c>
      <c r="K64" s="14" t="n"/>
      <c r="L64" s="14" t="n"/>
    </row>
    <row r="65" ht="16.5" customHeight="1">
      <c r="A65" s="14" t="n"/>
      <c r="B65" s="14" t="n"/>
      <c r="C65" s="14" t="n"/>
      <c r="D65" s="14" t="n"/>
      <c r="E65" s="61" t="n"/>
      <c r="F65" s="61" t="n"/>
      <c r="G65" s="62">
        <f>E65-F65</f>
        <v/>
      </c>
      <c r="H65" s="60" t="n"/>
      <c r="I65" s="13">
        <f>IF(A65="","",IF(G65&lt;=0,"已结清",IF(H65&lt;TODAY(),"已逾期","未到期")))</f>
        <v/>
      </c>
      <c r="J65" s="36">
        <f>IF(OR(A65="",G65&lt;=0),0,MAX(0,TODAY()-H65))</f>
        <v/>
      </c>
      <c r="K65" s="14" t="n"/>
      <c r="L65" s="14" t="n"/>
    </row>
    <row r="66" ht="16.5" customHeight="1">
      <c r="A66" s="14" t="n"/>
      <c r="B66" s="14" t="n"/>
      <c r="C66" s="14" t="n"/>
      <c r="D66" s="14" t="n"/>
      <c r="E66" s="61" t="n"/>
      <c r="F66" s="61" t="n"/>
      <c r="G66" s="62">
        <f>E66-F66</f>
        <v/>
      </c>
      <c r="H66" s="60" t="n"/>
      <c r="I66" s="13">
        <f>IF(A66="","",IF(G66&lt;=0,"已结清",IF(H66&lt;TODAY(),"已逾期","未到期")))</f>
        <v/>
      </c>
      <c r="J66" s="36">
        <f>IF(OR(A66="",G66&lt;=0),0,MAX(0,TODAY()-H66))</f>
        <v/>
      </c>
      <c r="K66" s="14" t="n"/>
      <c r="L66" s="14" t="n"/>
    </row>
    <row r="67" ht="16.5" customHeight="1">
      <c r="A67" s="14" t="n"/>
      <c r="B67" s="14" t="n"/>
      <c r="C67" s="14" t="n"/>
      <c r="D67" s="14" t="n"/>
      <c r="E67" s="61" t="n"/>
      <c r="F67" s="61" t="n"/>
      <c r="G67" s="62">
        <f>E67-F67</f>
        <v/>
      </c>
      <c r="H67" s="60" t="n"/>
      <c r="I67" s="13">
        <f>IF(A67="","",IF(G67&lt;=0,"已结清",IF(H67&lt;TODAY(),"已逾期","未到期")))</f>
        <v/>
      </c>
      <c r="J67" s="36">
        <f>IF(OR(A67="",G67&lt;=0),0,MAX(0,TODAY()-H67))</f>
        <v/>
      </c>
      <c r="K67" s="14" t="n"/>
      <c r="L67" s="14" t="n"/>
    </row>
    <row r="68" ht="16.5" customHeight="1">
      <c r="A68" s="14" t="n"/>
      <c r="B68" s="14" t="n"/>
      <c r="C68" s="14" t="n"/>
      <c r="D68" s="14" t="n"/>
      <c r="E68" s="61" t="n"/>
      <c r="F68" s="61" t="n"/>
      <c r="G68" s="62">
        <f>E68-F68</f>
        <v/>
      </c>
      <c r="H68" s="60" t="n"/>
      <c r="I68" s="13">
        <f>IF(A68="","",IF(G68&lt;=0,"已结清",IF(H68&lt;TODAY(),"已逾期","未到期")))</f>
        <v/>
      </c>
      <c r="J68" s="36">
        <f>IF(OR(A68="",G68&lt;=0),0,MAX(0,TODAY()-H68))</f>
        <v/>
      </c>
      <c r="K68" s="14" t="n"/>
      <c r="L68" s="14" t="n"/>
    </row>
    <row r="69" ht="16.5" customHeight="1">
      <c r="A69" s="14" t="n"/>
      <c r="B69" s="14" t="n"/>
      <c r="C69" s="14" t="n"/>
      <c r="D69" s="14" t="n"/>
      <c r="E69" s="61" t="n"/>
      <c r="F69" s="61" t="n"/>
      <c r="G69" s="62">
        <f>E69-F69</f>
        <v/>
      </c>
      <c r="H69" s="60" t="n"/>
      <c r="I69" s="13">
        <f>IF(A69="","",IF(G69&lt;=0,"已结清",IF(H69&lt;TODAY(),"已逾期","未到期")))</f>
        <v/>
      </c>
      <c r="J69" s="36">
        <f>IF(OR(A69="",G69&lt;=0),0,MAX(0,TODAY()-H69))</f>
        <v/>
      </c>
      <c r="K69" s="14" t="n"/>
      <c r="L69" s="14" t="n"/>
    </row>
    <row r="70" ht="16.5" customHeight="1">
      <c r="A70" s="14" t="n"/>
      <c r="B70" s="14" t="n"/>
      <c r="C70" s="14" t="n"/>
      <c r="D70" s="14" t="n"/>
      <c r="E70" s="61" t="n"/>
      <c r="F70" s="61" t="n"/>
      <c r="G70" s="62">
        <f>E70-F70</f>
        <v/>
      </c>
      <c r="H70" s="60" t="n"/>
      <c r="I70" s="13">
        <f>IF(A70="","",IF(G70&lt;=0,"已结清",IF(H70&lt;TODAY(),"已逾期","未到期")))</f>
        <v/>
      </c>
      <c r="J70" s="36">
        <f>IF(OR(A70="",G70&lt;=0),0,MAX(0,TODAY()-H70))</f>
        <v/>
      </c>
      <c r="K70" s="14" t="n"/>
      <c r="L70" s="14" t="n"/>
    </row>
    <row r="71" ht="16.5" customHeight="1">
      <c r="A71" s="14" t="n"/>
      <c r="B71" s="14" t="n"/>
      <c r="C71" s="14" t="n"/>
      <c r="D71" s="14" t="n"/>
      <c r="E71" s="61" t="n"/>
      <c r="F71" s="61" t="n"/>
      <c r="G71" s="62">
        <f>E71-F71</f>
        <v/>
      </c>
      <c r="H71" s="60" t="n"/>
      <c r="I71" s="13">
        <f>IF(A71="","",IF(G71&lt;=0,"已结清",IF(H71&lt;TODAY(),"已逾期","未到期")))</f>
        <v/>
      </c>
      <c r="J71" s="36">
        <f>IF(OR(A71="",G71&lt;=0),0,MAX(0,TODAY()-H71))</f>
        <v/>
      </c>
      <c r="K71" s="14" t="n"/>
      <c r="L71" s="14" t="n"/>
    </row>
    <row r="72" ht="16.5" customHeight="1">
      <c r="A72" s="14" t="n"/>
      <c r="B72" s="14" t="n"/>
      <c r="C72" s="14" t="n"/>
      <c r="D72" s="14" t="n"/>
      <c r="E72" s="61" t="n"/>
      <c r="F72" s="61" t="n"/>
      <c r="G72" s="62">
        <f>E72-F72</f>
        <v/>
      </c>
      <c r="H72" s="60" t="n"/>
      <c r="I72" s="13">
        <f>IF(A72="","",IF(G72&lt;=0,"已结清",IF(H72&lt;TODAY(),"已逾期","未到期")))</f>
        <v/>
      </c>
      <c r="J72" s="36">
        <f>IF(OR(A72="",G72&lt;=0),0,MAX(0,TODAY()-H72))</f>
        <v/>
      </c>
      <c r="K72" s="14" t="n"/>
      <c r="L72" s="14" t="n"/>
    </row>
    <row r="73" ht="16.5" customHeight="1">
      <c r="A73" s="14" t="n"/>
      <c r="B73" s="14" t="n"/>
      <c r="C73" s="14" t="n"/>
      <c r="D73" s="14" t="n"/>
      <c r="E73" s="61" t="n"/>
      <c r="F73" s="61" t="n"/>
      <c r="G73" s="62">
        <f>E73-F73</f>
        <v/>
      </c>
      <c r="H73" s="60" t="n"/>
      <c r="I73" s="13">
        <f>IF(A73="","",IF(G73&lt;=0,"已结清",IF(H73&lt;TODAY(),"已逾期","未到期")))</f>
        <v/>
      </c>
      <c r="J73" s="36">
        <f>IF(OR(A73="",G73&lt;=0),0,MAX(0,TODAY()-H73))</f>
        <v/>
      </c>
      <c r="K73" s="14" t="n"/>
      <c r="L73" s="14" t="n"/>
    </row>
    <row r="74" ht="16.5" customHeight="1">
      <c r="A74" s="14" t="n"/>
      <c r="B74" s="14" t="n"/>
      <c r="C74" s="14" t="n"/>
      <c r="D74" s="14" t="n"/>
      <c r="E74" s="61" t="n"/>
      <c r="F74" s="61" t="n"/>
      <c r="G74" s="62">
        <f>E74-F74</f>
        <v/>
      </c>
      <c r="H74" s="60" t="n"/>
      <c r="I74" s="13">
        <f>IF(A74="","",IF(G74&lt;=0,"已结清",IF(H74&lt;TODAY(),"已逾期","未到期")))</f>
        <v/>
      </c>
      <c r="J74" s="36">
        <f>IF(OR(A74="",G74&lt;=0),0,MAX(0,TODAY()-H74))</f>
        <v/>
      </c>
      <c r="K74" s="14" t="n"/>
      <c r="L74" s="14" t="n"/>
    </row>
    <row r="75" ht="16.5" customHeight="1">
      <c r="A75" s="14" t="n"/>
      <c r="B75" s="14" t="n"/>
      <c r="C75" s="14" t="n"/>
      <c r="D75" s="14" t="n"/>
      <c r="E75" s="61" t="n"/>
      <c r="F75" s="61" t="n"/>
      <c r="G75" s="62">
        <f>E75-F75</f>
        <v/>
      </c>
      <c r="H75" s="60" t="n"/>
      <c r="I75" s="13">
        <f>IF(A75="","",IF(G75&lt;=0,"已结清",IF(H75&lt;TODAY(),"已逾期","未到期")))</f>
        <v/>
      </c>
      <c r="J75" s="36">
        <f>IF(OR(A75="",G75&lt;=0),0,MAX(0,TODAY()-H75))</f>
        <v/>
      </c>
      <c r="K75" s="14" t="n"/>
      <c r="L75" s="14" t="n"/>
    </row>
    <row r="76" ht="16.5" customHeight="1">
      <c r="A76" s="14" t="n"/>
      <c r="B76" s="14" t="n"/>
      <c r="C76" s="14" t="n"/>
      <c r="D76" s="14" t="n"/>
      <c r="E76" s="61" t="n"/>
      <c r="F76" s="61" t="n"/>
      <c r="G76" s="62">
        <f>E76-F76</f>
        <v/>
      </c>
      <c r="H76" s="60" t="n"/>
      <c r="I76" s="13">
        <f>IF(A76="","",IF(G76&lt;=0,"已结清",IF(H76&lt;TODAY(),"已逾期","未到期")))</f>
        <v/>
      </c>
      <c r="J76" s="36">
        <f>IF(OR(A76="",G76&lt;=0),0,MAX(0,TODAY()-H76))</f>
        <v/>
      </c>
      <c r="K76" s="14" t="n"/>
      <c r="L76" s="14" t="n"/>
    </row>
    <row r="77" ht="16.5" customHeight="1">
      <c r="A77" s="14" t="n"/>
      <c r="B77" s="14" t="n"/>
      <c r="C77" s="14" t="n"/>
      <c r="D77" s="14" t="n"/>
      <c r="E77" s="61" t="n"/>
      <c r="F77" s="61" t="n"/>
      <c r="G77" s="62">
        <f>E77-F77</f>
        <v/>
      </c>
      <c r="H77" s="60" t="n"/>
      <c r="I77" s="13">
        <f>IF(A77="","",IF(G77&lt;=0,"已结清",IF(H77&lt;TODAY(),"已逾期","未到期")))</f>
        <v/>
      </c>
      <c r="J77" s="36">
        <f>IF(OR(A77="",G77&lt;=0),0,MAX(0,TODAY()-H77))</f>
        <v/>
      </c>
      <c r="K77" s="14" t="n"/>
      <c r="L77" s="14" t="n"/>
    </row>
    <row r="78" ht="16.5" customHeight="1">
      <c r="A78" s="14" t="n"/>
      <c r="B78" s="14" t="n"/>
      <c r="C78" s="14" t="n"/>
      <c r="D78" s="14" t="n"/>
      <c r="E78" s="61" t="n"/>
      <c r="F78" s="61" t="n"/>
      <c r="G78" s="62">
        <f>E78-F78</f>
        <v/>
      </c>
      <c r="H78" s="60" t="n"/>
      <c r="I78" s="13">
        <f>IF(A78="","",IF(G78&lt;=0,"已结清",IF(H78&lt;TODAY(),"已逾期","未到期")))</f>
        <v/>
      </c>
      <c r="J78" s="36">
        <f>IF(OR(A78="",G78&lt;=0),0,MAX(0,TODAY()-H78))</f>
        <v/>
      </c>
      <c r="K78" s="14" t="n"/>
      <c r="L78" s="14" t="n"/>
    </row>
    <row r="79" ht="16.5" customHeight="1">
      <c r="A79" s="14" t="n"/>
      <c r="B79" s="14" t="n"/>
      <c r="C79" s="14" t="n"/>
      <c r="D79" s="14" t="n"/>
      <c r="E79" s="61" t="n"/>
      <c r="F79" s="61" t="n"/>
      <c r="G79" s="62">
        <f>E79-F79</f>
        <v/>
      </c>
      <c r="H79" s="60" t="n"/>
      <c r="I79" s="13">
        <f>IF(A79="","",IF(G79&lt;=0,"已结清",IF(H79&lt;TODAY(),"已逾期","未到期")))</f>
        <v/>
      </c>
      <c r="J79" s="36">
        <f>IF(OR(A79="",G79&lt;=0),0,MAX(0,TODAY()-H79))</f>
        <v/>
      </c>
      <c r="K79" s="14" t="n"/>
      <c r="L79" s="14" t="n"/>
    </row>
    <row r="80" ht="16.5" customHeight="1">
      <c r="A80" s="14" t="n"/>
      <c r="B80" s="14" t="n"/>
      <c r="C80" s="14" t="n"/>
      <c r="D80" s="14" t="n"/>
      <c r="E80" s="61" t="n"/>
      <c r="F80" s="61" t="n"/>
      <c r="G80" s="62">
        <f>E80-F80</f>
        <v/>
      </c>
      <c r="H80" s="60" t="n"/>
      <c r="I80" s="13">
        <f>IF(A80="","",IF(G80&lt;=0,"已结清",IF(H80&lt;TODAY(),"已逾期","未到期")))</f>
        <v/>
      </c>
      <c r="J80" s="36">
        <f>IF(OR(A80="",G80&lt;=0),0,MAX(0,TODAY()-H80))</f>
        <v/>
      </c>
      <c r="K80" s="14" t="n"/>
      <c r="L80" s="14" t="n"/>
    </row>
    <row r="81" ht="16.5" customHeight="1">
      <c r="A81" s="14" t="n"/>
      <c r="B81" s="14" t="n"/>
      <c r="C81" s="14" t="n"/>
      <c r="D81" s="14" t="n"/>
      <c r="E81" s="61" t="n"/>
      <c r="F81" s="61" t="n"/>
      <c r="G81" s="62">
        <f>E81-F81</f>
        <v/>
      </c>
      <c r="H81" s="60" t="n"/>
      <c r="I81" s="13">
        <f>IF(A81="","",IF(G81&lt;=0,"已结清",IF(H81&lt;TODAY(),"已逾期","未到期")))</f>
        <v/>
      </c>
      <c r="J81" s="36">
        <f>IF(OR(A81="",G81&lt;=0),0,MAX(0,TODAY()-H81))</f>
        <v/>
      </c>
      <c r="K81" s="14" t="n"/>
      <c r="L81" s="14" t="n"/>
    </row>
    <row r="82" ht="16.5" customHeight="1">
      <c r="A82" s="14" t="n"/>
      <c r="B82" s="14" t="n"/>
      <c r="C82" s="14" t="n"/>
      <c r="D82" s="14" t="n"/>
      <c r="E82" s="61" t="n"/>
      <c r="F82" s="61" t="n"/>
      <c r="G82" s="62">
        <f>E82-F82</f>
        <v/>
      </c>
      <c r="H82" s="60" t="n"/>
      <c r="I82" s="13">
        <f>IF(A82="","",IF(G82&lt;=0,"已结清",IF(H82&lt;TODAY(),"已逾期","未到期")))</f>
        <v/>
      </c>
      <c r="J82" s="36">
        <f>IF(OR(A82="",G82&lt;=0),0,MAX(0,TODAY()-H82))</f>
        <v/>
      </c>
      <c r="K82" s="14" t="n"/>
      <c r="L82" s="14" t="n"/>
    </row>
    <row r="83" ht="16.5" customHeight="1">
      <c r="A83" s="14" t="n"/>
      <c r="B83" s="14" t="n"/>
      <c r="C83" s="14" t="n"/>
      <c r="D83" s="14" t="n"/>
      <c r="E83" s="61" t="n"/>
      <c r="F83" s="61" t="n"/>
      <c r="G83" s="62">
        <f>E83-F83</f>
        <v/>
      </c>
      <c r="H83" s="60" t="n"/>
      <c r="I83" s="13">
        <f>IF(A83="","",IF(G83&lt;=0,"已结清",IF(H83&lt;TODAY(),"已逾期","未到期")))</f>
        <v/>
      </c>
      <c r="J83" s="36">
        <f>IF(OR(A83="",G83&lt;=0),0,MAX(0,TODAY()-H83))</f>
        <v/>
      </c>
      <c r="K83" s="14" t="n"/>
      <c r="L83" s="14" t="n"/>
    </row>
    <row r="84" ht="16.5" customHeight="1">
      <c r="A84" s="14" t="n"/>
      <c r="B84" s="14" t="n"/>
      <c r="C84" s="14" t="n"/>
      <c r="D84" s="14" t="n"/>
      <c r="E84" s="61" t="n"/>
      <c r="F84" s="61" t="n"/>
      <c r="G84" s="62">
        <f>E84-F84</f>
        <v/>
      </c>
      <c r="H84" s="60" t="n"/>
      <c r="I84" s="13">
        <f>IF(A84="","",IF(G84&lt;=0,"已结清",IF(H84&lt;TODAY(),"已逾期","未到期")))</f>
        <v/>
      </c>
      <c r="J84" s="36">
        <f>IF(OR(A84="",G84&lt;=0),0,MAX(0,TODAY()-H84))</f>
        <v/>
      </c>
      <c r="K84" s="14" t="n"/>
      <c r="L84" s="14" t="n"/>
    </row>
    <row r="85" ht="16.5" customHeight="1">
      <c r="A85" s="14" t="n"/>
      <c r="B85" s="14" t="n"/>
      <c r="C85" s="14" t="n"/>
      <c r="D85" s="14" t="n"/>
      <c r="E85" s="61" t="n"/>
      <c r="F85" s="61" t="n"/>
      <c r="G85" s="62">
        <f>E85-F85</f>
        <v/>
      </c>
      <c r="H85" s="60" t="n"/>
      <c r="I85" s="13">
        <f>IF(A85="","",IF(G85&lt;=0,"已结清",IF(H85&lt;TODAY(),"已逾期","未到期")))</f>
        <v/>
      </c>
      <c r="J85" s="36">
        <f>IF(OR(A85="",G85&lt;=0),0,MAX(0,TODAY()-H85))</f>
        <v/>
      </c>
      <c r="K85" s="14" t="n"/>
      <c r="L85" s="14" t="n"/>
    </row>
    <row r="86" ht="16.5" customHeight="1">
      <c r="A86" s="14" t="n"/>
      <c r="B86" s="14" t="n"/>
      <c r="C86" s="14" t="n"/>
      <c r="D86" s="14" t="n"/>
      <c r="E86" s="61" t="n"/>
      <c r="F86" s="61" t="n"/>
      <c r="G86" s="62">
        <f>E86-F86</f>
        <v/>
      </c>
      <c r="H86" s="60" t="n"/>
      <c r="I86" s="13">
        <f>IF(A86="","",IF(G86&lt;=0,"已结清",IF(H86&lt;TODAY(),"已逾期","未到期")))</f>
        <v/>
      </c>
      <c r="J86" s="36">
        <f>IF(OR(A86="",G86&lt;=0),0,MAX(0,TODAY()-H86))</f>
        <v/>
      </c>
      <c r="K86" s="14" t="n"/>
      <c r="L86" s="14" t="n"/>
    </row>
    <row r="87" ht="16.5" customHeight="1">
      <c r="A87" s="14" t="n"/>
      <c r="B87" s="14" t="n"/>
      <c r="C87" s="14" t="n"/>
      <c r="D87" s="14" t="n"/>
      <c r="E87" s="61" t="n"/>
      <c r="F87" s="61" t="n"/>
      <c r="G87" s="62">
        <f>E87-F87</f>
        <v/>
      </c>
      <c r="H87" s="60" t="n"/>
      <c r="I87" s="13">
        <f>IF(A87="","",IF(G87&lt;=0,"已结清",IF(H87&lt;TODAY(),"已逾期","未到期")))</f>
        <v/>
      </c>
      <c r="J87" s="36">
        <f>IF(OR(A87="",G87&lt;=0),0,MAX(0,TODAY()-H87))</f>
        <v/>
      </c>
      <c r="K87" s="14" t="n"/>
      <c r="L87" s="14" t="n"/>
    </row>
    <row r="88" ht="16.5" customHeight="1">
      <c r="A88" s="14" t="n"/>
      <c r="B88" s="14" t="n"/>
      <c r="C88" s="14" t="n"/>
      <c r="D88" s="14" t="n"/>
      <c r="E88" s="61" t="n"/>
      <c r="F88" s="61" t="n"/>
      <c r="G88" s="62">
        <f>E88-F88</f>
        <v/>
      </c>
      <c r="H88" s="60" t="n"/>
      <c r="I88" s="13">
        <f>IF(A88="","",IF(G88&lt;=0,"已结清",IF(H88&lt;TODAY(),"已逾期","未到期")))</f>
        <v/>
      </c>
      <c r="J88" s="36">
        <f>IF(OR(A88="",G88&lt;=0),0,MAX(0,TODAY()-H88))</f>
        <v/>
      </c>
      <c r="K88" s="14" t="n"/>
      <c r="L88" s="14" t="n"/>
    </row>
    <row r="89" ht="16.5" customHeight="1">
      <c r="A89" s="14" t="n"/>
      <c r="B89" s="14" t="n"/>
      <c r="C89" s="14" t="n"/>
      <c r="D89" s="14" t="n"/>
      <c r="E89" s="61" t="n"/>
      <c r="F89" s="61" t="n"/>
      <c r="G89" s="62">
        <f>E89-F89</f>
        <v/>
      </c>
      <c r="H89" s="60" t="n"/>
      <c r="I89" s="13">
        <f>IF(A89="","",IF(G89&lt;=0,"已结清",IF(H89&lt;TODAY(),"已逾期","未到期")))</f>
        <v/>
      </c>
      <c r="J89" s="36">
        <f>IF(OR(A89="",G89&lt;=0),0,MAX(0,TODAY()-H89))</f>
        <v/>
      </c>
      <c r="K89" s="14" t="n"/>
      <c r="L89" s="14" t="n"/>
    </row>
    <row r="90" ht="16.5" customHeight="1">
      <c r="A90" s="14" t="n"/>
      <c r="B90" s="14" t="n"/>
      <c r="C90" s="14" t="n"/>
      <c r="D90" s="14" t="n"/>
      <c r="E90" s="61" t="n"/>
      <c r="F90" s="61" t="n"/>
      <c r="G90" s="62">
        <f>E90-F90</f>
        <v/>
      </c>
      <c r="H90" s="60" t="n"/>
      <c r="I90" s="13">
        <f>IF(A90="","",IF(G90&lt;=0,"已结清",IF(H90&lt;TODAY(),"已逾期","未到期")))</f>
        <v/>
      </c>
      <c r="J90" s="36">
        <f>IF(OR(A90="",G90&lt;=0),0,MAX(0,TODAY()-H90))</f>
        <v/>
      </c>
      <c r="K90" s="14" t="n"/>
      <c r="L90" s="14" t="n"/>
    </row>
    <row r="91" ht="16.5" customHeight="1">
      <c r="A91" s="14" t="n"/>
      <c r="B91" s="14" t="n"/>
      <c r="C91" s="14" t="n"/>
      <c r="D91" s="14" t="n"/>
      <c r="E91" s="61" t="n"/>
      <c r="F91" s="61" t="n"/>
      <c r="G91" s="62">
        <f>E91-F91</f>
        <v/>
      </c>
      <c r="H91" s="60" t="n"/>
      <c r="I91" s="13">
        <f>IF(A91="","",IF(G91&lt;=0,"已结清",IF(H91&lt;TODAY(),"已逾期","未到期")))</f>
        <v/>
      </c>
      <c r="J91" s="36">
        <f>IF(OR(A91="",G91&lt;=0),0,MAX(0,TODAY()-H91))</f>
        <v/>
      </c>
      <c r="K91" s="14" t="n"/>
      <c r="L91" s="14" t="n"/>
    </row>
    <row r="92" ht="16.5" customHeight="1">
      <c r="A92" s="14" t="n"/>
      <c r="B92" s="14" t="n"/>
      <c r="C92" s="14" t="n"/>
      <c r="D92" s="14" t="n"/>
      <c r="E92" s="61" t="n"/>
      <c r="F92" s="61" t="n"/>
      <c r="G92" s="62">
        <f>E92-F92</f>
        <v/>
      </c>
      <c r="H92" s="60" t="n"/>
      <c r="I92" s="13">
        <f>IF(A92="","",IF(G92&lt;=0,"已结清",IF(H92&lt;TODAY(),"已逾期","未到期")))</f>
        <v/>
      </c>
      <c r="J92" s="36">
        <f>IF(OR(A92="",G92&lt;=0),0,MAX(0,TODAY()-H92))</f>
        <v/>
      </c>
      <c r="K92" s="14" t="n"/>
      <c r="L92" s="14" t="n"/>
    </row>
    <row r="93" ht="16.5" customHeight="1">
      <c r="A93" s="14" t="n"/>
      <c r="B93" s="14" t="n"/>
      <c r="C93" s="14" t="n"/>
      <c r="D93" s="14" t="n"/>
      <c r="E93" s="61" t="n"/>
      <c r="F93" s="61" t="n"/>
      <c r="G93" s="62">
        <f>E93-F93</f>
        <v/>
      </c>
      <c r="H93" s="60" t="n"/>
      <c r="I93" s="13">
        <f>IF(A93="","",IF(G93&lt;=0,"已结清",IF(H93&lt;TODAY(),"已逾期","未到期")))</f>
        <v/>
      </c>
      <c r="J93" s="36">
        <f>IF(OR(A93="",G93&lt;=0),0,MAX(0,TODAY()-H93))</f>
        <v/>
      </c>
      <c r="K93" s="14" t="n"/>
      <c r="L93" s="14" t="n"/>
    </row>
    <row r="94" ht="16.5" customHeight="1">
      <c r="A94" s="14" t="n"/>
      <c r="B94" s="14" t="n"/>
      <c r="C94" s="14" t="n"/>
      <c r="D94" s="14" t="n"/>
      <c r="E94" s="61" t="n"/>
      <c r="F94" s="61" t="n"/>
      <c r="G94" s="62">
        <f>E94-F94</f>
        <v/>
      </c>
      <c r="H94" s="60" t="n"/>
      <c r="I94" s="13">
        <f>IF(A94="","",IF(G94&lt;=0,"已结清",IF(H94&lt;TODAY(),"已逾期","未到期")))</f>
        <v/>
      </c>
      <c r="J94" s="36">
        <f>IF(OR(A94="",G94&lt;=0),0,MAX(0,TODAY()-H94))</f>
        <v/>
      </c>
      <c r="K94" s="14" t="n"/>
      <c r="L94" s="14" t="n"/>
    </row>
    <row r="95" ht="16.5" customHeight="1">
      <c r="A95" s="14" t="n"/>
      <c r="B95" s="14" t="n"/>
      <c r="C95" s="14" t="n"/>
      <c r="D95" s="14" t="n"/>
      <c r="E95" s="61" t="n"/>
      <c r="F95" s="61" t="n"/>
      <c r="G95" s="62">
        <f>E95-F95</f>
        <v/>
      </c>
      <c r="H95" s="60" t="n"/>
      <c r="I95" s="13">
        <f>IF(A95="","",IF(G95&lt;=0,"已结清",IF(H95&lt;TODAY(),"已逾期","未到期")))</f>
        <v/>
      </c>
      <c r="J95" s="36">
        <f>IF(OR(A95="",G95&lt;=0),0,MAX(0,TODAY()-H95))</f>
        <v/>
      </c>
      <c r="K95" s="14" t="n"/>
      <c r="L95" s="14" t="n"/>
    </row>
    <row r="96" ht="16.5" customHeight="1">
      <c r="A96" s="14" t="n"/>
      <c r="B96" s="14" t="n"/>
      <c r="C96" s="14" t="n"/>
      <c r="D96" s="14" t="n"/>
      <c r="E96" s="61" t="n"/>
      <c r="F96" s="61" t="n"/>
      <c r="G96" s="62">
        <f>E96-F96</f>
        <v/>
      </c>
      <c r="H96" s="60" t="n"/>
      <c r="I96" s="13">
        <f>IF(A96="","",IF(G96&lt;=0,"已结清",IF(H96&lt;TODAY(),"已逾期","未到期")))</f>
        <v/>
      </c>
      <c r="J96" s="36">
        <f>IF(OR(A96="",G96&lt;=0),0,MAX(0,TODAY()-H96))</f>
        <v/>
      </c>
      <c r="K96" s="14" t="n"/>
      <c r="L96" s="14" t="n"/>
    </row>
    <row r="97" ht="16.5" customHeight="1">
      <c r="A97" s="14" t="n"/>
      <c r="B97" s="14" t="n"/>
      <c r="C97" s="14" t="n"/>
      <c r="D97" s="14" t="n"/>
      <c r="E97" s="61" t="n"/>
      <c r="F97" s="61" t="n"/>
      <c r="G97" s="62">
        <f>E97-F97</f>
        <v/>
      </c>
      <c r="H97" s="60" t="n"/>
      <c r="I97" s="13">
        <f>IF(A97="","",IF(G97&lt;=0,"已结清",IF(H97&lt;TODAY(),"已逾期","未到期")))</f>
        <v/>
      </c>
      <c r="J97" s="36">
        <f>IF(OR(A97="",G97&lt;=0),0,MAX(0,TODAY()-H97))</f>
        <v/>
      </c>
      <c r="K97" s="14" t="n"/>
      <c r="L97" s="14" t="n"/>
    </row>
    <row r="98" ht="16.5" customHeight="1">
      <c r="A98" s="14" t="n"/>
      <c r="B98" s="14" t="n"/>
      <c r="C98" s="14" t="n"/>
      <c r="D98" s="14" t="n"/>
      <c r="E98" s="61" t="n"/>
      <c r="F98" s="61" t="n"/>
      <c r="G98" s="62">
        <f>E98-F98</f>
        <v/>
      </c>
      <c r="H98" s="60" t="n"/>
      <c r="I98" s="13">
        <f>IF(A98="","",IF(G98&lt;=0,"已结清",IF(H98&lt;TODAY(),"已逾期","未到期")))</f>
        <v/>
      </c>
      <c r="J98" s="36">
        <f>IF(OR(A98="",G98&lt;=0),0,MAX(0,TODAY()-H98))</f>
        <v/>
      </c>
      <c r="K98" s="14" t="n"/>
      <c r="L98" s="14" t="n"/>
    </row>
    <row r="99" ht="16.5" customHeight="1">
      <c r="A99" s="14" t="n"/>
      <c r="B99" s="14" t="n"/>
      <c r="C99" s="14" t="n"/>
      <c r="D99" s="14" t="n"/>
      <c r="E99" s="61" t="n"/>
      <c r="F99" s="61" t="n"/>
      <c r="G99" s="62">
        <f>E99-F99</f>
        <v/>
      </c>
      <c r="H99" s="60" t="n"/>
      <c r="I99" s="13">
        <f>IF(A99="","",IF(G99&lt;=0,"已结清",IF(H99&lt;TODAY(),"已逾期","未到期")))</f>
        <v/>
      </c>
      <c r="J99" s="36">
        <f>IF(OR(A99="",G99&lt;=0),0,MAX(0,TODAY()-H99))</f>
        <v/>
      </c>
      <c r="K99" s="14" t="n"/>
      <c r="L99" s="14" t="n"/>
    </row>
    <row r="100" ht="16.5" customHeight="1">
      <c r="A100" s="14" t="n"/>
      <c r="B100" s="14" t="n"/>
      <c r="C100" s="14" t="n"/>
      <c r="D100" s="14" t="n"/>
      <c r="E100" s="61" t="n"/>
      <c r="F100" s="61" t="n"/>
      <c r="G100" s="62">
        <f>E100-F100</f>
        <v/>
      </c>
      <c r="H100" s="60" t="n"/>
      <c r="I100" s="13">
        <f>IF(A100="","",IF(G100&lt;=0,"已结清",IF(H100&lt;TODAY(),"已逾期","未到期")))</f>
        <v/>
      </c>
      <c r="J100" s="36">
        <f>IF(OR(A100="",G100&lt;=0),0,MAX(0,TODAY()-H100))</f>
        <v/>
      </c>
      <c r="K100" s="14" t="n"/>
      <c r="L100" s="14" t="n"/>
    </row>
    <row r="101" ht="16.5" customHeight="1">
      <c r="A101" s="14" t="n"/>
      <c r="B101" s="14" t="n"/>
      <c r="C101" s="14" t="n"/>
      <c r="D101" s="14" t="n"/>
      <c r="E101" s="61" t="n"/>
      <c r="F101" s="61" t="n"/>
      <c r="G101" s="62">
        <f>E101-F101</f>
        <v/>
      </c>
      <c r="H101" s="60" t="n"/>
      <c r="I101" s="13">
        <f>IF(A101="","",IF(G101&lt;=0,"已结清",IF(H101&lt;TODAY(),"已逾期","未到期")))</f>
        <v/>
      </c>
      <c r="J101" s="36">
        <f>IF(OR(A101="",G101&lt;=0),0,MAX(0,TODAY()-H101))</f>
        <v/>
      </c>
      <c r="K101" s="14" t="n"/>
      <c r="L101" s="14" t="n"/>
    </row>
    <row r="102" ht="16.5" customHeight="1">
      <c r="A102" s="14" t="n"/>
      <c r="B102" s="14" t="n"/>
      <c r="C102" s="14" t="n"/>
      <c r="D102" s="14" t="n"/>
      <c r="E102" s="61" t="n"/>
      <c r="F102" s="61" t="n"/>
      <c r="G102" s="62">
        <f>E102-F102</f>
        <v/>
      </c>
      <c r="H102" s="60" t="n"/>
      <c r="I102" s="13">
        <f>IF(A102="","",IF(G102&lt;=0,"已结清",IF(H102&lt;TODAY(),"已逾期","未到期")))</f>
        <v/>
      </c>
      <c r="J102" s="36">
        <f>IF(OR(A102="",G102&lt;=0),0,MAX(0,TODAY()-H102))</f>
        <v/>
      </c>
      <c r="K102" s="14" t="n"/>
      <c r="L102" s="14" t="n"/>
    </row>
    <row r="103" ht="16.5" customHeight="1">
      <c r="A103" s="20" t="n"/>
      <c r="B103" s="20" t="n"/>
      <c r="C103" s="20" t="n"/>
      <c r="D103" s="20" t="n"/>
      <c r="E103" s="64" t="n"/>
      <c r="F103" s="64" t="n"/>
      <c r="G103" s="65">
        <f>E103-F103</f>
        <v/>
      </c>
      <c r="H103" s="63" t="n"/>
      <c r="I103" s="19">
        <f>IF(A103="","",IF(G103&lt;=0,"已结清",IF(H103&lt;TODAY(),"已逾期","未到期")))</f>
        <v/>
      </c>
      <c r="J103" s="37">
        <f>IF(OR(A103="",G103&lt;=0),0,MAX(0,TODAY()-H103))</f>
        <v/>
      </c>
      <c r="K103" s="20" t="n"/>
      <c r="L103" s="20" t="n"/>
    </row>
  </sheetData>
  <mergeCells count="1">
    <mergeCell ref="A1:L2"/>
  </mergeCells>
  <conditionalFormatting sqref="I4:I103">
    <cfRule type="containsText" priority="1" operator="containsText" dxfId="1" text="已逾期"/>
    <cfRule type="containsText" priority="2" operator="containsText" dxfId="0" text="已结清"/>
  </conditionalFormatting>
  <dataValidations count="1">
    <dataValidation sqref="B4:B103" showDropDown="0" showInputMessage="0" showErrorMessage="0" allowBlank="0" type="list">
      <formula1>"应收,应付"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4"/>
  <cols>
    <col width="14" customWidth="1" min="1" max="1"/>
    <col width="16" customWidth="1" min="2" max="4"/>
    <col width="18" customWidth="1" min="5" max="5"/>
    <col width="16" customWidth="1" min="6" max="7"/>
    <col width="14" customWidth="1" min="8" max="8"/>
  </cols>
  <sheetData>
    <row r="1" ht="34" customHeight="1">
      <c r="A1" s="42" t="inlineStr">
        <is>
          <t>2026年月度经营财务汇总</t>
        </is>
      </c>
    </row>
    <row r="2" ht="34" customHeight="1"/>
    <row r="3" ht="18.5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30" customHeight="1">
      <c r="A4" s="5" t="inlineStr">
        <is>
          <t>月份</t>
        </is>
      </c>
      <c r="B4" s="5" t="inlineStr">
        <is>
          <t>收入</t>
        </is>
      </c>
      <c r="C4" s="5" t="inlineStr">
        <is>
          <t>支出</t>
        </is>
      </c>
      <c r="D4" s="5" t="inlineStr">
        <is>
          <t>净现金流</t>
        </is>
      </c>
      <c r="E4" s="5" t="inlineStr">
        <is>
          <t>累计净现金流</t>
        </is>
      </c>
      <c r="F4" s="5" t="inlineStr">
        <is>
          <t>支出预算</t>
        </is>
      </c>
      <c r="G4" s="5" t="inlineStr">
        <is>
          <t>预算差异</t>
        </is>
      </c>
      <c r="H4" s="5" t="inlineStr">
        <is>
          <t>预算执行率</t>
        </is>
      </c>
    </row>
    <row r="5" ht="16.5" customHeight="1">
      <c r="A5" s="27" t="inlineStr">
        <is>
          <t>2026-01</t>
        </is>
      </c>
      <c r="B5" s="67">
        <f>SUMIFS(财务流水!$L$5:$L$204,财务流水!$B$5:$B$204,A5,财务流水!$C$5:$C$204,"收入")</f>
        <v/>
      </c>
      <c r="C5" s="67">
        <f>SUMIFS(财务流水!$L$5:$L$204,财务流水!$B$5:$B$204,A5,财务流水!$C$5:$C$204,"支出")</f>
        <v/>
      </c>
      <c r="D5" s="67">
        <f>B5-C5</f>
        <v/>
      </c>
      <c r="E5" s="67">
        <f>D5</f>
        <v/>
      </c>
      <c r="F5" s="67">
        <f>预算执行!$C$13/12</f>
        <v/>
      </c>
      <c r="G5" s="67">
        <f>F5-C5</f>
        <v/>
      </c>
      <c r="H5" s="68">
        <f>IFERROR(C5/F5,0)</f>
        <v/>
      </c>
    </row>
    <row r="6" ht="16.5" customHeight="1">
      <c r="A6" s="31" t="inlineStr">
        <is>
          <t>2026-02</t>
        </is>
      </c>
      <c r="B6" s="70">
        <f>SUMIFS(财务流水!$L$5:$L$204,财务流水!$B$5:$B$204,A6,财务流水!$C$5:$C$204,"收入")</f>
        <v/>
      </c>
      <c r="C6" s="70">
        <f>SUMIFS(财务流水!$L$5:$L$204,财务流水!$B$5:$B$204,A6,财务流水!$C$5:$C$204,"支出")</f>
        <v/>
      </c>
      <c r="D6" s="70">
        <f>B6-C6</f>
        <v/>
      </c>
      <c r="E6" s="70">
        <f>E5+D6</f>
        <v/>
      </c>
      <c r="F6" s="70">
        <f>预算执行!$C$13/12</f>
        <v/>
      </c>
      <c r="G6" s="70">
        <f>F6-C6</f>
        <v/>
      </c>
      <c r="H6" s="71">
        <f>IFERROR(C6/F6,0)</f>
        <v/>
      </c>
    </row>
    <row r="7" ht="16.5" customHeight="1">
      <c r="A7" s="31" t="inlineStr">
        <is>
          <t>2026-03</t>
        </is>
      </c>
      <c r="B7" s="70">
        <f>SUMIFS(财务流水!$L$5:$L$204,财务流水!$B$5:$B$204,A7,财务流水!$C$5:$C$204,"收入")</f>
        <v/>
      </c>
      <c r="C7" s="70">
        <f>SUMIFS(财务流水!$L$5:$L$204,财务流水!$B$5:$B$204,A7,财务流水!$C$5:$C$204,"支出")</f>
        <v/>
      </c>
      <c r="D7" s="70">
        <f>B7-C7</f>
        <v/>
      </c>
      <c r="E7" s="70">
        <f>E6+D7</f>
        <v/>
      </c>
      <c r="F7" s="70">
        <f>预算执行!$C$13/12</f>
        <v/>
      </c>
      <c r="G7" s="70">
        <f>F7-C7</f>
        <v/>
      </c>
      <c r="H7" s="71">
        <f>IFERROR(C7/F7,0)</f>
        <v/>
      </c>
    </row>
    <row r="8" ht="16.5" customHeight="1">
      <c r="A8" s="31" t="inlineStr">
        <is>
          <t>2026-04</t>
        </is>
      </c>
      <c r="B8" s="70">
        <f>SUMIFS(财务流水!$L$5:$L$204,财务流水!$B$5:$B$204,A8,财务流水!$C$5:$C$204,"收入")</f>
        <v/>
      </c>
      <c r="C8" s="70">
        <f>SUMIFS(财务流水!$L$5:$L$204,财务流水!$B$5:$B$204,A8,财务流水!$C$5:$C$204,"支出")</f>
        <v/>
      </c>
      <c r="D8" s="70">
        <f>B8-C8</f>
        <v/>
      </c>
      <c r="E8" s="70">
        <f>E7+D8</f>
        <v/>
      </c>
      <c r="F8" s="70">
        <f>预算执行!$C$13/12</f>
        <v/>
      </c>
      <c r="G8" s="70">
        <f>F8-C8</f>
        <v/>
      </c>
      <c r="H8" s="71">
        <f>IFERROR(C8/F8,0)</f>
        <v/>
      </c>
    </row>
    <row r="9" ht="16.5" customHeight="1">
      <c r="A9" s="31" t="inlineStr">
        <is>
          <t>2026-05</t>
        </is>
      </c>
      <c r="B9" s="70">
        <f>SUMIFS(财务流水!$L$5:$L$204,财务流水!$B$5:$B$204,A9,财务流水!$C$5:$C$204,"收入")</f>
        <v/>
      </c>
      <c r="C9" s="70">
        <f>SUMIFS(财务流水!$L$5:$L$204,财务流水!$B$5:$B$204,A9,财务流水!$C$5:$C$204,"支出")</f>
        <v/>
      </c>
      <c r="D9" s="70">
        <f>B9-C9</f>
        <v/>
      </c>
      <c r="E9" s="70">
        <f>E8+D9</f>
        <v/>
      </c>
      <c r="F9" s="70">
        <f>预算执行!$C$13/12</f>
        <v/>
      </c>
      <c r="G9" s="70">
        <f>F9-C9</f>
        <v/>
      </c>
      <c r="H9" s="71">
        <f>IFERROR(C9/F9,0)</f>
        <v/>
      </c>
    </row>
    <row r="10" ht="16.5" customHeight="1">
      <c r="A10" s="31" t="inlineStr">
        <is>
          <t>2026-06</t>
        </is>
      </c>
      <c r="B10" s="70">
        <f>SUMIFS(财务流水!$L$5:$L$204,财务流水!$B$5:$B$204,A10,财务流水!$C$5:$C$204,"收入")</f>
        <v/>
      </c>
      <c r="C10" s="70">
        <f>SUMIFS(财务流水!$L$5:$L$204,财务流水!$B$5:$B$204,A10,财务流水!$C$5:$C$204,"支出")</f>
        <v/>
      </c>
      <c r="D10" s="70">
        <f>B10-C10</f>
        <v/>
      </c>
      <c r="E10" s="70">
        <f>E9+D10</f>
        <v/>
      </c>
      <c r="F10" s="70">
        <f>预算执行!$C$13/12</f>
        <v/>
      </c>
      <c r="G10" s="70">
        <f>F10-C10</f>
        <v/>
      </c>
      <c r="H10" s="71">
        <f>IFERROR(C10/F10,0)</f>
        <v/>
      </c>
    </row>
    <row r="11" ht="16.5" customHeight="1">
      <c r="A11" s="31" t="inlineStr">
        <is>
          <t>2026-07</t>
        </is>
      </c>
      <c r="B11" s="70">
        <f>SUMIFS(财务流水!$L$5:$L$204,财务流水!$B$5:$B$204,A11,财务流水!$C$5:$C$204,"收入")</f>
        <v/>
      </c>
      <c r="C11" s="70">
        <f>SUMIFS(财务流水!$L$5:$L$204,财务流水!$B$5:$B$204,A11,财务流水!$C$5:$C$204,"支出")</f>
        <v/>
      </c>
      <c r="D11" s="70">
        <f>B11-C11</f>
        <v/>
      </c>
      <c r="E11" s="70">
        <f>E10+D11</f>
        <v/>
      </c>
      <c r="F11" s="70">
        <f>预算执行!$C$13/12</f>
        <v/>
      </c>
      <c r="G11" s="70">
        <f>F11-C11</f>
        <v/>
      </c>
      <c r="H11" s="71">
        <f>IFERROR(C11/F11,0)</f>
        <v/>
      </c>
    </row>
    <row r="12" ht="16.5" customHeight="1">
      <c r="A12" s="31" t="inlineStr">
        <is>
          <t>2026-08</t>
        </is>
      </c>
      <c r="B12" s="70">
        <f>SUMIFS(财务流水!$L$5:$L$204,财务流水!$B$5:$B$204,A12,财务流水!$C$5:$C$204,"收入")</f>
        <v/>
      </c>
      <c r="C12" s="70">
        <f>SUMIFS(财务流水!$L$5:$L$204,财务流水!$B$5:$B$204,A12,财务流水!$C$5:$C$204,"支出")</f>
        <v/>
      </c>
      <c r="D12" s="70">
        <f>B12-C12</f>
        <v/>
      </c>
      <c r="E12" s="70">
        <f>E11+D12</f>
        <v/>
      </c>
      <c r="F12" s="70">
        <f>预算执行!$C$13/12</f>
        <v/>
      </c>
      <c r="G12" s="70">
        <f>F12-C12</f>
        <v/>
      </c>
      <c r="H12" s="71">
        <f>IFERROR(C12/F12,0)</f>
        <v/>
      </c>
    </row>
    <row r="13" ht="16.5" customHeight="1">
      <c r="A13" s="31" t="inlineStr">
        <is>
          <t>2026-09</t>
        </is>
      </c>
      <c r="B13" s="70">
        <f>SUMIFS(财务流水!$L$5:$L$204,财务流水!$B$5:$B$204,A13,财务流水!$C$5:$C$204,"收入")</f>
        <v/>
      </c>
      <c r="C13" s="70">
        <f>SUMIFS(财务流水!$L$5:$L$204,财务流水!$B$5:$B$204,A13,财务流水!$C$5:$C$204,"支出")</f>
        <v/>
      </c>
      <c r="D13" s="70">
        <f>B13-C13</f>
        <v/>
      </c>
      <c r="E13" s="70">
        <f>E12+D13</f>
        <v/>
      </c>
      <c r="F13" s="70">
        <f>预算执行!$C$13/12</f>
        <v/>
      </c>
      <c r="G13" s="70">
        <f>F13-C13</f>
        <v/>
      </c>
      <c r="H13" s="71">
        <f>IFERROR(C13/F13,0)</f>
        <v/>
      </c>
    </row>
    <row r="14" ht="16.5" customHeight="1">
      <c r="A14" s="31" t="inlineStr">
        <is>
          <t>2026-10</t>
        </is>
      </c>
      <c r="B14" s="70">
        <f>SUMIFS(财务流水!$L$5:$L$204,财务流水!$B$5:$B$204,A14,财务流水!$C$5:$C$204,"收入")</f>
        <v/>
      </c>
      <c r="C14" s="70">
        <f>SUMIFS(财务流水!$L$5:$L$204,财务流水!$B$5:$B$204,A14,财务流水!$C$5:$C$204,"支出")</f>
        <v/>
      </c>
      <c r="D14" s="70">
        <f>B14-C14</f>
        <v/>
      </c>
      <c r="E14" s="70">
        <f>E13+D14</f>
        <v/>
      </c>
      <c r="F14" s="70">
        <f>预算执行!$C$13/12</f>
        <v/>
      </c>
      <c r="G14" s="70">
        <f>F14-C14</f>
        <v/>
      </c>
      <c r="H14" s="71">
        <f>IFERROR(C14/F14,0)</f>
        <v/>
      </c>
    </row>
    <row r="15" ht="16.5" customHeight="1">
      <c r="A15" s="31" t="inlineStr">
        <is>
          <t>2026-11</t>
        </is>
      </c>
      <c r="B15" s="70">
        <f>SUMIFS(财务流水!$L$5:$L$204,财务流水!$B$5:$B$204,A15,财务流水!$C$5:$C$204,"收入")</f>
        <v/>
      </c>
      <c r="C15" s="70">
        <f>SUMIFS(财务流水!$L$5:$L$204,财务流水!$B$5:$B$204,A15,财务流水!$C$5:$C$204,"支出")</f>
        <v/>
      </c>
      <c r="D15" s="70">
        <f>B15-C15</f>
        <v/>
      </c>
      <c r="E15" s="70">
        <f>E14+D15</f>
        <v/>
      </c>
      <c r="F15" s="70">
        <f>预算执行!$C$13/12</f>
        <v/>
      </c>
      <c r="G15" s="70">
        <f>F15-C15</f>
        <v/>
      </c>
      <c r="H15" s="71">
        <f>IFERROR(C15/F15,0)</f>
        <v/>
      </c>
    </row>
    <row r="16" ht="16.5" customHeight="1">
      <c r="A16" s="31" t="inlineStr">
        <is>
          <t>2026-12</t>
        </is>
      </c>
      <c r="B16" s="70">
        <f>SUMIFS(财务流水!$L$5:$L$204,财务流水!$B$5:$B$204,A16,财务流水!$C$5:$C$204,"收入")</f>
        <v/>
      </c>
      <c r="C16" s="70">
        <f>SUMIFS(财务流水!$L$5:$L$204,财务流水!$B$5:$B$204,A16,财务流水!$C$5:$C$204,"支出")</f>
        <v/>
      </c>
      <c r="D16" s="70">
        <f>B16-C16</f>
        <v/>
      </c>
      <c r="E16" s="70">
        <f>E15+D16</f>
        <v/>
      </c>
      <c r="F16" s="70">
        <f>预算执行!$C$13/12</f>
        <v/>
      </c>
      <c r="G16" s="70">
        <f>F16-C16</f>
        <v/>
      </c>
      <c r="H16" s="71">
        <f>IFERROR(C16/F16,0)</f>
        <v/>
      </c>
    </row>
    <row r="17" ht="16.5" customHeight="1">
      <c r="A17" s="46" t="inlineStr">
        <is>
          <t>全年合计</t>
        </is>
      </c>
      <c r="B17" s="73">
        <f>SUM(B5:B16)</f>
        <v/>
      </c>
      <c r="C17" s="73">
        <f>SUM(C5:C16)</f>
        <v/>
      </c>
      <c r="D17" s="73">
        <f>SUM(D5:D16)</f>
        <v/>
      </c>
      <c r="E17" s="73">
        <f>E16</f>
        <v/>
      </c>
      <c r="F17" s="73">
        <f>SUM(F5:F16)</f>
        <v/>
      </c>
      <c r="G17" s="73">
        <f>SUM(G5:G16)</f>
        <v/>
      </c>
      <c r="H17" s="74">
        <f>IFERROR(C17/F17,0)</f>
        <v/>
      </c>
    </row>
  </sheetData>
  <mergeCells count="1">
    <mergeCell ref="A1:H2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tabSelected="1" workbookViewId="0">
      <selection activeCell="A1" sqref="A1:L2"/>
    </sheetView>
  </sheetViews>
  <sheetFormatPr baseColWidth="8" defaultRowHeight="14"/>
  <cols>
    <col width="16" customWidth="1" min="1" max="2"/>
    <col width="12" customWidth="1" min="3" max="3"/>
    <col width="16" customWidth="1" min="4" max="5"/>
    <col width="12" customWidth="1" min="6" max="6"/>
    <col width="15" customWidth="1" min="7" max="7"/>
    <col width="16" customWidth="1" min="8" max="8"/>
    <col width="12" customWidth="1" min="9" max="9"/>
    <col width="16" customWidth="1" min="10" max="11"/>
    <col width="12" customWidth="1" min="12" max="12"/>
  </cols>
  <sheetData>
    <row r="1" ht="34" customHeight="1">
      <c r="A1" s="42" t="inlineStr">
        <is>
          <t>财务管理看板</t>
        </is>
      </c>
    </row>
    <row r="2" ht="34" customHeight="1"/>
    <row r="3" ht="18.5" customHeight="1">
      <c r="A3" s="1" t="inlineStr">
        <is>
          <t>查看月份</t>
        </is>
      </c>
      <c r="B3" s="38" t="inlineStr">
        <is>
          <t>2026-07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.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8.5" customHeight="1">
      <c r="A5" s="47" t="inlineStr">
        <is>
          <t>本月收入</t>
        </is>
      </c>
      <c r="D5" s="50" t="inlineStr">
        <is>
          <t>本月支出</t>
        </is>
      </c>
      <c r="G5" s="53" t="inlineStr">
        <is>
          <t>净现金流</t>
        </is>
      </c>
      <c r="J5" s="50" t="inlineStr">
        <is>
          <t>逾期未结</t>
        </is>
      </c>
    </row>
    <row r="6" ht="26" customHeight="1">
      <c r="A6" s="75">
        <f>SUMIFS(财务流水!$L$5:$L$204,财务流水!$B$5:$B$204,$B$3,财务流水!$C$5:$C$204,"收入")</f>
        <v/>
      </c>
      <c r="D6" s="76">
        <f>SUMIFS(财务流水!$L$5:$L$204,财务流水!$B$5:$B$204,$B$3,财务流水!$C$5:$C$204,"支出")</f>
        <v/>
      </c>
      <c r="G6" s="77">
        <f>A6-D6</f>
        <v/>
      </c>
      <c r="J6" s="76">
        <f>SUMIFS(应收应付!$G$4:$G$103,应收应付!$I$4:$I$103,"已逾期")</f>
        <v/>
      </c>
    </row>
    <row r="7" ht="18.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24" customHeight="1">
      <c r="A8" s="43" t="inlineStr">
        <is>
          <t>本月费用结构</t>
        </is>
      </c>
      <c r="G8" s="1" t="n"/>
      <c r="H8" s="1" t="n"/>
      <c r="I8" s="1" t="n"/>
      <c r="J8" s="1" t="n"/>
      <c r="K8" s="1" t="n"/>
      <c r="L8" s="1" t="n"/>
    </row>
    <row r="9" ht="30" customHeight="1">
      <c r="A9" s="5" t="inlineStr">
        <is>
          <t>费用类别</t>
        </is>
      </c>
      <c r="B9" s="5" t="inlineStr">
        <is>
          <t>金额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18.5" customHeight="1">
      <c r="A10" s="2" t="inlineStr">
        <is>
          <t>电费</t>
        </is>
      </c>
      <c r="B10" s="78">
        <f>SUMIFS(财务流水!$L$5:$L$204,财务流水!$B$5:$B$204,$B$3,财务流水!$C$5:$C$204,"支出",财务流水!$F$5:$F$204,A10)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18.5" customHeight="1">
      <c r="A11" s="3" t="inlineStr">
        <is>
          <t>运维费</t>
        </is>
      </c>
      <c r="B11" s="79">
        <f>SUMIFS(财务流水!$L$5:$L$204,财务流水!$B$5:$B$204,$B$3,财务流水!$C$5:$C$204,"支出",财务流水!$F$5:$F$204,A11)</f>
        <v/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18.5" customHeight="1">
      <c r="A12" s="3" t="inlineStr">
        <is>
          <t>软件服务费</t>
        </is>
      </c>
      <c r="B12" s="79">
        <f>SUMIFS(财务流水!$L$5:$L$204,财务流水!$B$5:$B$204,$B$3,财务流水!$C$5:$C$204,"支出",财务流水!$F$5:$F$204,A12)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18.5" customHeight="1">
      <c r="A13" s="3" t="inlineStr">
        <is>
          <t>差旅费</t>
        </is>
      </c>
      <c r="B13" s="79">
        <f>SUMIFS(财务流水!$L$5:$L$204,财务流水!$B$5:$B$204,$B$3,财务流水!$C$5:$C$204,"支出",财务流水!$F$5:$F$204,A13)</f>
        <v/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 ht="18.5" customHeight="1">
      <c r="A14" s="3" t="inlineStr">
        <is>
          <t>设备采购</t>
        </is>
      </c>
      <c r="B14" s="79">
        <f>SUMIFS(财务流水!$L$5:$L$204,财务流水!$B$5:$B$204,$B$3,财务流水!$C$5:$C$204,"支出",财务流水!$F$5:$F$204,A14)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18.5" customHeight="1">
      <c r="A15" s="3" t="inlineStr">
        <is>
          <t>市场推广费</t>
        </is>
      </c>
      <c r="B15" s="79">
        <f>SUMIFS(财务流水!$L$5:$L$204,财务流水!$B$5:$B$204,$B$3,财务流水!$C$5:$C$204,"支出",财务流水!$F$5:$F$204,A15)</f>
        <v/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18.5" customHeight="1">
      <c r="A16" s="3" t="inlineStr">
        <is>
          <t>办公费</t>
        </is>
      </c>
      <c r="B16" s="79">
        <f>SUMIFS(财务流水!$L$5:$L$204,财务流水!$B$5:$B$204,$B$3,财务流水!$C$5:$C$204,"支出",财务流水!$F$5:$F$204,A16)</f>
        <v/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18.5" customHeight="1">
      <c r="A17" s="4" t="inlineStr">
        <is>
          <t>培训费</t>
        </is>
      </c>
      <c r="B17" s="80">
        <f>SUMIFS(财务流水!$L$5:$L$204,财务流水!$B$5:$B$204,$B$3,财务流水!$C$5:$C$204,"支出",财务流水!$F$5:$F$204,A17)</f>
        <v/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 ht="18.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18.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24" customHeight="1">
      <c r="A20" s="43" t="inlineStr">
        <is>
          <t>管理提示</t>
        </is>
      </c>
      <c r="G20" s="1" t="n"/>
      <c r="H20" s="1" t="n"/>
      <c r="I20" s="1" t="n"/>
      <c r="J20" s="1" t="n"/>
      <c r="K20" s="1" t="n"/>
      <c r="L20" s="1" t="n"/>
    </row>
    <row r="21" ht="18.5" customHeight="1">
      <c r="A21" s="56">
        <f>IF(J6&gt;0,"存在逾期未结款项，请优先核对“应收应付”工作表。",IF(D6&gt;A6,"本月支出高于收入，请关注现金流与预算执行。","本月现金流为正，继续跟踪未开票和未付款事项。"))</f>
        <v/>
      </c>
      <c r="G21" s="1" t="n"/>
      <c r="H21" s="1" t="n"/>
      <c r="I21" s="1" t="n"/>
      <c r="J21" s="1" t="n"/>
      <c r="K21" s="1" t="n"/>
      <c r="L21" s="1" t="n"/>
    </row>
    <row r="22" ht="18.5" customHeight="1">
      <c r="G22" s="1" t="inlineStr">
        <is>
          <t>月份</t>
        </is>
      </c>
      <c r="H22" s="1" t="inlineStr">
        <is>
          <t>净现金流</t>
        </is>
      </c>
      <c r="I22" s="1" t="n"/>
      <c r="J22" s="1" t="n"/>
      <c r="K22" s="1" t="n"/>
      <c r="L22" s="1" t="n"/>
    </row>
    <row r="23" ht="18.5" customHeight="1">
      <c r="G23" s="1">
        <f>月度汇总!A5</f>
        <v/>
      </c>
      <c r="H23" s="1">
        <f>月度汇总!D5</f>
        <v/>
      </c>
      <c r="I23" s="1" t="n"/>
      <c r="J23" s="1" t="n"/>
      <c r="K23" s="1" t="n"/>
      <c r="L23" s="1" t="n"/>
    </row>
    <row r="24" ht="18.5" customHeight="1">
      <c r="G24" s="1">
        <f>月度汇总!A6</f>
        <v/>
      </c>
      <c r="H24" s="1">
        <f>月度汇总!D6</f>
        <v/>
      </c>
      <c r="I24" s="1" t="n"/>
      <c r="J24" s="1" t="n"/>
      <c r="K24" s="1" t="n"/>
      <c r="L24" s="1" t="n"/>
    </row>
    <row r="25" ht="18.5" customHeight="1">
      <c r="A25" s="1" t="n"/>
      <c r="B25" s="1" t="n"/>
      <c r="C25" s="1" t="n"/>
      <c r="D25" s="1" t="n"/>
      <c r="E25" s="1" t="n"/>
      <c r="F25" s="1" t="n"/>
      <c r="G25" s="1">
        <f>月度汇总!A7</f>
        <v/>
      </c>
      <c r="H25" s="1">
        <f>月度汇总!D7</f>
        <v/>
      </c>
      <c r="I25" s="1" t="n"/>
      <c r="J25" s="1" t="n"/>
      <c r="K25" s="1" t="n"/>
      <c r="L25" s="1" t="n"/>
    </row>
    <row r="26" ht="18.5" customHeight="1">
      <c r="A26" s="1" t="n"/>
      <c r="B26" s="1" t="n"/>
      <c r="C26" s="1" t="n"/>
      <c r="D26" s="1" t="n"/>
      <c r="E26" s="1" t="n"/>
      <c r="F26" s="1" t="n"/>
      <c r="G26" s="1">
        <f>月度汇总!A8</f>
        <v/>
      </c>
      <c r="H26" s="1">
        <f>月度汇总!D8</f>
        <v/>
      </c>
      <c r="I26" s="1" t="n"/>
      <c r="J26" s="1" t="n"/>
      <c r="K26" s="1" t="n"/>
      <c r="L26" s="1" t="n"/>
    </row>
    <row r="27" ht="18.5" customHeight="1">
      <c r="A27" s="1" t="n"/>
      <c r="B27" s="1" t="n"/>
      <c r="C27" s="1" t="n"/>
      <c r="D27" s="1" t="n"/>
      <c r="E27" s="1" t="n"/>
      <c r="F27" s="1" t="n"/>
      <c r="G27" s="1">
        <f>月度汇总!A9</f>
        <v/>
      </c>
      <c r="H27" s="1">
        <f>月度汇总!D9</f>
        <v/>
      </c>
      <c r="I27" s="1" t="n"/>
      <c r="J27" s="1" t="n"/>
      <c r="K27" s="1" t="n"/>
      <c r="L27" s="1" t="n"/>
    </row>
    <row r="28" ht="18.5" customHeight="1">
      <c r="A28" s="1" t="n"/>
      <c r="B28" s="1" t="n"/>
      <c r="C28" s="1" t="n"/>
      <c r="D28" s="1" t="n"/>
      <c r="E28" s="1" t="n"/>
      <c r="F28" s="1" t="n"/>
      <c r="G28" s="1">
        <f>月度汇总!A10</f>
        <v/>
      </c>
      <c r="H28" s="1">
        <f>月度汇总!D10</f>
        <v/>
      </c>
      <c r="I28" s="1" t="n"/>
      <c r="J28" s="1" t="n"/>
      <c r="K28" s="1" t="n"/>
      <c r="L28" s="1" t="n"/>
    </row>
    <row r="29" ht="18.5" customHeight="1">
      <c r="A29" s="1" t="n"/>
      <c r="B29" s="1" t="n"/>
      <c r="C29" s="1" t="n"/>
      <c r="D29" s="1" t="n"/>
      <c r="E29" s="1" t="n"/>
      <c r="F29" s="1" t="n"/>
      <c r="G29" s="1">
        <f>月度汇总!A11</f>
        <v/>
      </c>
      <c r="H29" s="1">
        <f>月度汇总!D11</f>
        <v/>
      </c>
      <c r="I29" s="1" t="n"/>
      <c r="J29" s="1" t="n"/>
      <c r="K29" s="1" t="n"/>
      <c r="L29" s="1" t="n"/>
    </row>
    <row r="30" ht="18.5" customHeight="1">
      <c r="A30" s="1" t="n"/>
      <c r="B30" s="1" t="n"/>
      <c r="C30" s="1" t="n"/>
      <c r="D30" s="1" t="n"/>
      <c r="E30" s="1" t="n"/>
      <c r="F30" s="1" t="n"/>
      <c r="G30" s="1">
        <f>月度汇总!A12</f>
        <v/>
      </c>
      <c r="H30" s="1">
        <f>月度汇总!D12</f>
        <v/>
      </c>
      <c r="I30" s="1" t="n"/>
      <c r="J30" s="1" t="n"/>
      <c r="K30" s="1" t="n"/>
      <c r="L30" s="1" t="n"/>
    </row>
    <row r="31" ht="18.5" customHeight="1">
      <c r="A31" s="1" t="n"/>
      <c r="B31" s="1" t="n"/>
      <c r="C31" s="1" t="n"/>
      <c r="D31" s="1" t="n"/>
      <c r="E31" s="1" t="n"/>
      <c r="F31" s="1" t="n"/>
      <c r="G31" s="1">
        <f>月度汇总!A13</f>
        <v/>
      </c>
      <c r="H31" s="1">
        <f>月度汇总!D13</f>
        <v/>
      </c>
      <c r="I31" s="1" t="n"/>
      <c r="J31" s="1" t="n"/>
      <c r="K31" s="1" t="n"/>
      <c r="L31" s="1" t="n"/>
    </row>
    <row r="32" ht="18.5" customHeight="1">
      <c r="A32" s="1" t="n"/>
      <c r="B32" s="1" t="n"/>
      <c r="C32" s="1" t="n"/>
      <c r="D32" s="1" t="n"/>
      <c r="E32" s="1" t="n"/>
      <c r="F32" s="1" t="n"/>
      <c r="G32" s="1">
        <f>月度汇总!A14</f>
        <v/>
      </c>
      <c r="H32" s="1">
        <f>月度汇总!D14</f>
        <v/>
      </c>
      <c r="I32" s="1" t="n"/>
      <c r="J32" s="1" t="n"/>
      <c r="K32" s="1" t="n"/>
      <c r="L32" s="1" t="n"/>
    </row>
    <row r="33" ht="18.5" customHeight="1">
      <c r="A33" s="1" t="n"/>
      <c r="B33" s="1" t="n"/>
      <c r="C33" s="1" t="n"/>
      <c r="D33" s="1" t="n"/>
      <c r="E33" s="1" t="n"/>
      <c r="F33" s="1" t="n"/>
      <c r="G33" s="1">
        <f>月度汇总!A15</f>
        <v/>
      </c>
      <c r="H33" s="1">
        <f>月度汇总!D15</f>
        <v/>
      </c>
      <c r="I33" s="1" t="n"/>
      <c r="J33" s="1" t="n"/>
      <c r="K33" s="1" t="n"/>
      <c r="L33" s="1" t="n"/>
    </row>
    <row r="34" ht="18.5" customHeight="1">
      <c r="A34" s="1" t="n"/>
      <c r="B34" s="1" t="n"/>
      <c r="C34" s="1" t="n"/>
      <c r="D34" s="1" t="n"/>
      <c r="E34" s="1" t="n"/>
      <c r="F34" s="1" t="n"/>
      <c r="G34" s="1">
        <f>月度汇总!A16</f>
        <v/>
      </c>
      <c r="H34" s="1">
        <f>月度汇总!D16</f>
        <v/>
      </c>
      <c r="I34" s="1" t="n"/>
      <c r="J34" s="1" t="n"/>
      <c r="K34" s="1" t="n"/>
      <c r="L34" s="1" t="n"/>
    </row>
  </sheetData>
  <mergeCells count="12">
    <mergeCell ref="A21:F24"/>
    <mergeCell ref="J6:L6"/>
    <mergeCell ref="J5:L5"/>
    <mergeCell ref="D5:F5"/>
    <mergeCell ref="A5:C5"/>
    <mergeCell ref="G5:I5"/>
    <mergeCell ref="G6:I6"/>
    <mergeCell ref="A6:C6"/>
    <mergeCell ref="A1:L2"/>
    <mergeCell ref="A8:F8"/>
    <mergeCell ref="A20:F20"/>
    <mergeCell ref="D6:F6"/>
  </mergeCells>
  <dataValidations count="1">
    <dataValidation sqref="B3" showDropDown="0" showInputMessage="0" showErrorMessage="0" allowBlank="0" type="list">
      <formula1>"2026-01,2026-02,2026-03,2026-04,2026-05,2026-06,2026-07,2026-08,2026-09,2026-10,2026-11,2026-12"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34" customWidth="1" min="4" max="4"/>
    <col width="46" customWidth="1" min="5" max="5"/>
    <col width="40" customWidth="1" min="6" max="6"/>
  </cols>
  <sheetData>
    <row r="1" ht="26" customHeight="1">
      <c r="A1" s="81" t="inlineStr">
        <is>
          <t>2026年7月报表 — 汇总数字来源与计算公式溯源表</t>
        </is>
      </c>
      <c r="B1" s="89" t="n"/>
      <c r="C1" s="89" t="n"/>
      <c r="D1" s="89" t="n"/>
      <c r="E1" s="89" t="n"/>
      <c r="F1" s="90" t="n"/>
    </row>
    <row r="2" ht="28" customHeight="1">
      <c r="A2" s="82" t="inlineStr">
        <is>
          <t>说明：所有金额单位为人民币元，保留两位小数；“数值”列为本 Agent 按“计算公式”独立复算结果，与原模板公式口径一致。</t>
        </is>
      </c>
      <c r="B2" s="89" t="n"/>
      <c r="C2" s="89" t="n"/>
      <c r="D2" s="89" t="n"/>
      <c r="E2" s="89" t="n"/>
      <c r="F2" s="90" t="n"/>
    </row>
    <row r="3">
      <c r="A3" s="83" t="inlineStr">
        <is>
          <t>汇总项</t>
        </is>
      </c>
      <c r="B3" s="83" t="inlineStr">
        <is>
          <t>数值(元)</t>
        </is>
      </c>
      <c r="C3" s="83" t="inlineStr">
        <is>
          <t>来源工作表</t>
        </is>
      </c>
      <c r="D3" s="83" t="inlineStr">
        <is>
          <t>来源字段/单元格</t>
        </is>
      </c>
      <c r="E3" s="83" t="inlineStr">
        <is>
          <t>计算公式</t>
        </is>
      </c>
      <c r="F3" s="83" t="inlineStr">
        <is>
          <t>备注</t>
        </is>
      </c>
    </row>
    <row r="4">
      <c r="A4" s="84" t="inlineStr">
        <is>
          <t>【本月收入】</t>
        </is>
      </c>
      <c r="B4" s="89" t="n"/>
      <c r="C4" s="89" t="n"/>
      <c r="D4" s="89" t="n"/>
      <c r="E4" s="89" t="n"/>
      <c r="F4" s="90" t="n"/>
    </row>
    <row r="5">
      <c r="A5" s="85" t="inlineStr">
        <is>
          <t>本月收入合计(含税)</t>
        </is>
      </c>
      <c r="B5" s="86" t="n">
        <v>555000</v>
      </c>
      <c r="C5" s="85" t="inlineStr">
        <is>
          <t>财务流水</t>
        </is>
      </c>
      <c r="D5" s="85" t="inlineStr">
        <is>
          <t>列L金额(含税)；列C业务类型=收入；列B月份=2026-07</t>
        </is>
      </c>
      <c r="E5" s="85">
        <f>SUMIFS(财务流水!L:L, 月份,"2026-07", 业务类型,"收入")</f>
        <v/>
      </c>
      <c r="F5" s="85" t="inlineStr">
        <is>
          <t>r18 充电服务收入335000 + r22 项目服务收入220000</t>
        </is>
      </c>
    </row>
    <row r="6">
      <c r="A6" s="85" t="inlineStr">
        <is>
          <t xml:space="preserve">  — 充电服务收入(金坛体育馆站)</t>
        </is>
      </c>
      <c r="B6" s="86" t="n">
        <v>335000</v>
      </c>
      <c r="C6" s="85" t="inlineStr">
        <is>
          <t>财务流水!L18</t>
        </is>
      </c>
      <c r="D6" s="85" t="inlineStr">
        <is>
          <t>金额(含税)=335000</t>
        </is>
      </c>
      <c r="E6" s="85" t="inlineStr">
        <is>
          <t>逐笔取值(运营部/金坛体育馆站)</t>
        </is>
      </c>
      <c r="F6" s="85" t="inlineStr">
        <is>
          <t>已开票/已收款</t>
        </is>
      </c>
    </row>
    <row r="7">
      <c r="A7" s="85" t="inlineStr">
        <is>
          <t xml:space="preserve">  — 项目服务收入(数据平台项目)</t>
        </is>
      </c>
      <c r="B7" s="86" t="n">
        <v>220000</v>
      </c>
      <c r="C7" s="85" t="inlineStr">
        <is>
          <t>财务流水!L22</t>
        </is>
      </c>
      <c r="D7" s="85" t="inlineStr">
        <is>
          <t>金额(含税)=220000</t>
        </is>
      </c>
      <c r="E7" s="85" t="inlineStr">
        <is>
          <t>逐笔取值(项目部/数据平台项目)</t>
        </is>
      </c>
      <c r="F7" s="85" t="inlineStr">
        <is>
          <t>待财务复核：未开票/未收款，未形成现金流入</t>
        </is>
      </c>
    </row>
    <row r="8">
      <c r="A8" s="84" t="inlineStr">
        <is>
          <t>【本月支出】</t>
        </is>
      </c>
      <c r="B8" s="89" t="n"/>
      <c r="C8" s="89" t="n"/>
      <c r="D8" s="89" t="n"/>
      <c r="E8" s="89" t="n"/>
      <c r="F8" s="90" t="n"/>
    </row>
    <row r="9">
      <c r="A9" s="85" t="inlineStr">
        <is>
          <t>本月支出合计(含税)</t>
        </is>
      </c>
      <c r="B9" s="86" t="n">
        <v>168000</v>
      </c>
      <c r="C9" s="85" t="inlineStr">
        <is>
          <t>财务流水</t>
        </is>
      </c>
      <c r="D9" s="85" t="inlineStr">
        <is>
          <t>列L金额(含税)；列C业务类型=支出；列B月份=2026-07</t>
        </is>
      </c>
      <c r="E9" s="85">
        <f>SUMIFS(财务流水!L:L, 月份,"2026-07", 业务类型,"支出")</f>
        <v/>
      </c>
      <c r="F9" s="85" t="inlineStr">
        <is>
          <t>r19 电费108000 + r20 软件服务费42000 + r21 市场推广费18000</t>
        </is>
      </c>
    </row>
    <row r="10">
      <c r="A10" s="85" t="inlineStr">
        <is>
          <t xml:space="preserve">  — 电费(运营部/金坛体育馆站)</t>
        </is>
      </c>
      <c r="B10" s="86" t="n">
        <v>108000</v>
      </c>
      <c r="C10" s="85" t="inlineStr">
        <is>
          <t>财务流水!L19</t>
        </is>
      </c>
      <c r="D10" s="85" t="inlineStr">
        <is>
          <t>金额(含税)=108000</t>
        </is>
      </c>
      <c r="E10" s="85" t="inlineStr">
        <is>
          <t>逐笔取值</t>
        </is>
      </c>
      <c r="F10" s="85" t="inlineStr">
        <is>
          <t>已收票/已付款</t>
        </is>
      </c>
    </row>
    <row r="11">
      <c r="A11" s="85" t="inlineStr">
        <is>
          <t xml:space="preserve">  — 软件服务费(研发部/AI平台一期)</t>
        </is>
      </c>
      <c r="B11" s="86" t="n">
        <v>42000</v>
      </c>
      <c r="C11" s="85" t="inlineStr">
        <is>
          <t>财务流水!L20</t>
        </is>
      </c>
      <c r="D11" s="85" t="inlineStr">
        <is>
          <t>金额(含税)=42000</t>
        </is>
      </c>
      <c r="E11" s="85" t="inlineStr">
        <is>
          <t>逐笔取值</t>
        </is>
      </c>
      <c r="F11" s="85" t="inlineStr">
        <is>
          <t>已收票/未付款(到期2026-07-31)</t>
        </is>
      </c>
    </row>
    <row r="12">
      <c r="A12" s="85" t="inlineStr">
        <is>
          <t xml:space="preserve">  — 市场推广费(市场部/品牌推广)</t>
        </is>
      </c>
      <c r="B12" s="86" t="n">
        <v>18000</v>
      </c>
      <c r="C12" s="85" t="inlineStr">
        <is>
          <t>财务流水!L21</t>
        </is>
      </c>
      <c r="D12" s="85" t="inlineStr">
        <is>
          <t>金额(含税)=18000</t>
        </is>
      </c>
      <c r="E12" s="85" t="inlineStr">
        <is>
          <t>逐笔取值</t>
        </is>
      </c>
      <c r="F12" s="85" t="inlineStr">
        <is>
          <t>待财务复核：未收票(缺发票)/未付款</t>
        </is>
      </c>
    </row>
    <row r="13">
      <c r="A13" s="84" t="inlineStr">
        <is>
          <t>【净现金流】</t>
        </is>
      </c>
      <c r="B13" s="89" t="n"/>
      <c r="C13" s="89" t="n"/>
      <c r="D13" s="89" t="n"/>
      <c r="E13" s="89" t="n"/>
      <c r="F13" s="90" t="n"/>
    </row>
    <row r="14">
      <c r="A14" s="85" t="inlineStr">
        <is>
          <t>本月净现金流</t>
        </is>
      </c>
      <c r="B14" s="86" t="n">
        <v>387000</v>
      </c>
      <c r="C14" s="85" t="inlineStr">
        <is>
          <t>月度汇总!D11</t>
        </is>
      </c>
      <c r="D14" s="85" t="inlineStr">
        <is>
          <t>本月收入-本月支出</t>
        </is>
      </c>
      <c r="E14" s="85">
        <f>SUMIFS(收入,"2026-07")-SUMIFS(支出,"2026-07") = 555000-168000</f>
        <v/>
      </c>
      <c r="F14" s="85" t="inlineStr">
        <is>
          <t>模板口径为含税全额(权责发生)，含未收款/未付款；非纯现金口径</t>
        </is>
      </c>
    </row>
    <row r="15">
      <c r="A15" s="84" t="inlineStr">
        <is>
          <t>【应收账款】</t>
        </is>
      </c>
      <c r="B15" s="89" t="n"/>
      <c r="C15" s="89" t="n"/>
      <c r="D15" s="89" t="n"/>
      <c r="E15" s="89" t="n"/>
      <c r="F15" s="90" t="n"/>
    </row>
    <row r="16">
      <c r="A16" s="85" t="inlineStr">
        <is>
          <t>应收账款未结合计</t>
        </is>
      </c>
      <c r="B16" s="86" t="n">
        <v>440000</v>
      </c>
      <c r="C16" s="85" t="inlineStr">
        <is>
          <t>应收应付</t>
        </is>
      </c>
      <c r="D16" s="85" t="inlineStr">
        <is>
          <t>列G未结金额；列B类型=应收</t>
        </is>
      </c>
      <c r="E16" s="85">
        <f>SUMIFS(应收应付!G:G, 类型,"应收")</f>
        <v/>
      </c>
      <c r="F16" s="85" t="inlineStr">
        <is>
          <t>AR-26001 未结220000(已逾期19天) + AR-26002 未结220000(未到期)；AR-26003 已结清</t>
        </is>
      </c>
    </row>
    <row r="17">
      <c r="A17" s="85" t="inlineStr">
        <is>
          <t>应付账款未结合计</t>
        </is>
      </c>
      <c r="B17" s="86" t="n">
        <v>106000</v>
      </c>
      <c r="C17" s="85" t="inlineStr">
        <is>
          <t>应收应付</t>
        </is>
      </c>
      <c r="D17" s="85" t="inlineStr">
        <is>
          <t>列G未结金额；列B类型=应付</t>
        </is>
      </c>
      <c r="E17" s="85">
        <f>SUMIFS(应收应付!G:G, 类型,"应付")</f>
        <v/>
      </c>
      <c r="F17" s="85" t="inlineStr">
        <is>
          <t>AP-26001 42000 + AP-26002 18000 + AP-26003 46000(已逾期34天)</t>
        </is>
      </c>
    </row>
    <row r="18">
      <c r="A18" s="85" t="inlineStr">
        <is>
          <t>逾期未结合计(应收+应付)</t>
        </is>
      </c>
      <c r="B18" s="86" t="n">
        <v>266000</v>
      </c>
      <c r="C18" s="85" t="inlineStr">
        <is>
          <t>管理看板!J6</t>
        </is>
      </c>
      <c r="D18" s="85" t="inlineStr">
        <is>
          <t>列G未结金额；列I状态=已逾期</t>
        </is>
      </c>
      <c r="E18" s="85">
        <f>SUMIFS(应收应付!G:G, 状态,"已逾期") = 220000+46000</f>
        <v/>
      </c>
      <c r="F18" s="85" t="inlineStr">
        <is>
          <t>模板口径，AR与AP合并统计</t>
        </is>
      </c>
    </row>
    <row r="19">
      <c r="A19" s="84" t="inlineStr">
        <is>
          <t>【预算执行 — 月度口径】</t>
        </is>
      </c>
      <c r="B19" s="89" t="n"/>
      <c r="C19" s="89" t="n"/>
      <c r="D19" s="89" t="n"/>
      <c r="E19" s="89" t="n"/>
      <c r="F19" s="90" t="n"/>
    </row>
    <row r="20">
      <c r="A20" s="85" t="inlineStr">
        <is>
          <t>本月支出预算(年度/12)</t>
        </is>
      </c>
      <c r="B20" s="86" t="n">
        <v>340000</v>
      </c>
      <c r="C20" s="85" t="inlineStr">
        <is>
          <t>月度汇总!F11←预算执行!C13/12</t>
        </is>
      </c>
      <c r="D20" s="85" t="inlineStr">
        <is>
          <t>年度预算合计4080000 ÷ 12</t>
        </is>
      </c>
      <c r="E20" s="85">
        <f>预算执行!C13/12 = 4080000/12</f>
        <v/>
      </c>
      <c r="F20" s="85" t="inlineStr">
        <is>
          <t>待财务复核：均摊口径，未考虑季节性</t>
        </is>
      </c>
    </row>
    <row r="21">
      <c r="A21" s="85" t="inlineStr">
        <is>
          <t>本月预算差异(预算-实际)</t>
        </is>
      </c>
      <c r="B21" s="86" t="n">
        <v>172000</v>
      </c>
      <c r="C21" s="85" t="inlineStr">
        <is>
          <t>月度汇总!G11</t>
        </is>
      </c>
      <c r="D21" s="85" t="inlineStr">
        <is>
          <t>月度预算-月度实际支出</t>
        </is>
      </c>
      <c r="E21" s="85">
        <f>F11-C11 = 340000-168000</f>
        <v/>
      </c>
      <c r="F21" s="85" t="inlineStr">
        <is>
          <t>有利差异(节约)</t>
        </is>
      </c>
    </row>
    <row r="22">
      <c r="A22" s="85" t="inlineStr">
        <is>
          <t>本月预算执行率</t>
        </is>
      </c>
      <c r="B22" s="87" t="n">
        <v>0.4941</v>
      </c>
      <c r="C22" s="85" t="inlineStr">
        <is>
          <t>月度汇总!H11</t>
        </is>
      </c>
      <c r="D22" s="85" t="inlineStr">
        <is>
          <t>月度实际支出/月度预算</t>
        </is>
      </c>
      <c r="E22" s="85">
        <f>IFERROR(C11/F11,0) = 168000/340000</f>
        <v/>
      </c>
      <c r="F22" s="85" t="inlineStr">
        <is>
          <t>百分比</t>
        </is>
      </c>
    </row>
    <row r="23">
      <c r="A23" s="84" t="inlineStr">
        <is>
          <t>【预算执行 — 年度累计口径(1-7月)】</t>
        </is>
      </c>
      <c r="B23" s="89" t="n"/>
      <c r="C23" s="89" t="n"/>
      <c r="D23" s="89" t="n"/>
      <c r="E23" s="89" t="n"/>
      <c r="F23" s="90" t="n"/>
    </row>
    <row r="24">
      <c r="A24" s="85" t="inlineStr">
        <is>
          <t>累计实际支出合计</t>
        </is>
      </c>
      <c r="B24" s="86" t="n">
        <v>608400</v>
      </c>
      <c r="C24" s="85" t="inlineStr">
        <is>
          <t>预算执行!P13</t>
        </is>
      </c>
      <c r="D24" s="85" t="inlineStr">
        <is>
          <t>列D:O各月实际之和</t>
        </is>
      </c>
      <c r="E24" s="85">
        <f>SUM(预算执行!J5:J12 各月累计) = 1-7月支出合计</f>
        <v/>
      </c>
      <c r="F24" s="85" t="inlineStr">
        <is>
          <t>—</t>
        </is>
      </c>
    </row>
    <row r="25">
      <c r="A25" s="85" t="inlineStr">
        <is>
          <t>年度预算合计</t>
        </is>
      </c>
      <c r="B25" s="86" t="n">
        <v>4080000</v>
      </c>
      <c r="C25" s="85" t="inlineStr">
        <is>
          <t>预算执行!C13</t>
        </is>
      </c>
      <c r="D25" s="85" t="inlineStr">
        <is>
          <t>列C年度预算之和</t>
        </is>
      </c>
      <c r="E25" s="85">
        <f>SUM(预算执行!C5:C12)</f>
        <v/>
      </c>
      <c r="F25" s="85" t="inlineStr">
        <is>
          <t>—</t>
        </is>
      </c>
    </row>
    <row r="26">
      <c r="A26" s="85" t="inlineStr">
        <is>
          <t>累计预算执行率</t>
        </is>
      </c>
      <c r="B26" s="87" t="n">
        <v>0.1491</v>
      </c>
      <c r="C26" s="85" t="inlineStr">
        <is>
          <t>预算执行!R13</t>
        </is>
      </c>
      <c r="D26" s="85" t="inlineStr">
        <is>
          <t>累计实际/年度预算</t>
        </is>
      </c>
      <c r="E26" s="85">
        <f>IFERROR(P13/C13,0) = 608400/4080000</f>
        <v/>
      </c>
      <c r="F26" s="85" t="inlineStr">
        <is>
          <t>远低于58.33%时间进度</t>
        </is>
      </c>
    </row>
    <row r="27">
      <c r="A27" s="85" t="inlineStr">
        <is>
          <t>年度时间进度</t>
        </is>
      </c>
      <c r="B27" s="87" t="n">
        <v>0.5833</v>
      </c>
      <c r="C27" s="85" t="inlineStr">
        <is>
          <t>预算执行!S5:S12</t>
        </is>
      </c>
      <c r="D27" s="85" t="inlineStr">
        <is>
          <t>7/12</t>
        </is>
      </c>
      <c r="E27" s="85">
        <f>7/12</f>
        <v/>
      </c>
      <c r="F27" s="85" t="inlineStr">
        <is>
          <t>—</t>
        </is>
      </c>
    </row>
  </sheetData>
  <mergeCells count="8">
    <mergeCell ref="A2:F2"/>
    <mergeCell ref="A13:F13"/>
    <mergeCell ref="A19:F19"/>
    <mergeCell ref="A1:F1"/>
    <mergeCell ref="A23:F23"/>
    <mergeCell ref="A8:F8"/>
    <mergeCell ref="A4:F4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30" customWidth="1" min="4" max="4"/>
    <col width="30" customWidth="1" min="5" max="5"/>
  </cols>
  <sheetData>
    <row r="1" ht="26" customHeight="1">
      <c r="A1" s="81" t="inlineStr">
        <is>
          <t>2026年7月报表 — 数据检查清单</t>
        </is>
      </c>
      <c r="B1" s="89" t="n"/>
      <c r="C1" s="89" t="n"/>
      <c r="D1" s="89" t="n"/>
      <c r="E1" s="90" t="n"/>
    </row>
    <row r="2" ht="28" customHeight="1">
      <c r="A2" s="82" t="inlineStr">
        <is>
          <t>检查范围：财务流水(r5-r22) / 预算执行(r5-r13) / 应收应付(r4-r9) / 月度汇总 / 管理看板。检查人：财务报表专员(AI辅助)。检查日期：2026-07-19。</t>
        </is>
      </c>
      <c r="B2" s="89" t="n"/>
      <c r="C2" s="89" t="n"/>
      <c r="D2" s="89" t="n"/>
      <c r="E2" s="90" t="n"/>
    </row>
    <row r="3">
      <c r="A3" s="83" t="inlineStr">
        <is>
          <t>检查项</t>
        </is>
      </c>
      <c r="B3" s="83" t="inlineStr">
        <is>
          <t>检查方法</t>
        </is>
      </c>
      <c r="C3" s="83" t="inlineStr">
        <is>
          <t>检查结果</t>
        </is>
      </c>
      <c r="D3" s="83" t="inlineStr">
        <is>
          <t>涉及行/单号</t>
        </is>
      </c>
      <c r="E3" s="83" t="inlineStr">
        <is>
          <t>处理建议</t>
        </is>
      </c>
    </row>
    <row r="4">
      <c r="A4" s="85" t="inlineStr">
        <is>
          <t>流水行数与月份</t>
        </is>
      </c>
      <c r="B4" s="85" t="inlineStr">
        <is>
          <t>扫描财务流水A列非空行</t>
        </is>
      </c>
      <c r="C4" s="88" t="inlineStr">
        <is>
          <t>18条流水，月份覆盖2026-01~2026-07，本月(07)5条</t>
        </is>
      </c>
      <c r="D4" s="85" t="inlineStr">
        <is>
          <t>r5-r22</t>
        </is>
      </c>
      <c r="E4" s="85" t="inlineStr">
        <is>
          <t>正常</t>
        </is>
      </c>
    </row>
    <row r="5">
      <c r="A5" s="85" t="inlineStr">
        <is>
          <t>重复数据</t>
        </is>
      </c>
      <c r="B5" s="85" t="inlineStr">
        <is>
          <t>按(摘要+金额+部门+费用类别)查重</t>
        </is>
      </c>
      <c r="C5" s="88" t="inlineStr">
        <is>
          <t>无完全重复行</t>
        </is>
      </c>
      <c r="D5" s="85" t="inlineStr">
        <is>
          <t>—</t>
        </is>
      </c>
      <c r="E5" s="85" t="inlineStr">
        <is>
          <t>正常</t>
        </is>
      </c>
    </row>
    <row r="6">
      <c r="A6" s="85" t="inlineStr">
        <is>
          <t>必填字段空值</t>
        </is>
      </c>
      <c r="B6" s="85" t="inlineStr">
        <is>
          <t>检查日期/业务类型/部门/费用类别/金额</t>
        </is>
      </c>
      <c r="C6" s="88" t="inlineStr">
        <is>
          <t>无空值</t>
        </is>
      </c>
      <c r="D6" s="85" t="inlineStr">
        <is>
          <t>r5-r22</t>
        </is>
      </c>
      <c r="E6" s="85" t="inlineStr">
        <is>
          <t>正常</t>
        </is>
      </c>
    </row>
    <row r="7">
      <c r="A7" s="85" t="inlineStr">
        <is>
          <t>金额合法性</t>
        </is>
      </c>
      <c r="B7" s="85" t="inlineStr">
        <is>
          <t>金额(含税)&gt;0</t>
        </is>
      </c>
      <c r="C7" s="88" t="inlineStr">
        <is>
          <t>全部为正数</t>
        </is>
      </c>
      <c r="D7" s="85" t="inlineStr">
        <is>
          <t>r5-r22</t>
        </is>
      </c>
      <c r="E7" s="85" t="inlineStr">
        <is>
          <t>正常</t>
        </is>
      </c>
    </row>
    <row r="8">
      <c r="A8" s="85" t="inlineStr">
        <is>
          <t>税额公式</t>
        </is>
      </c>
      <c r="B8" s="85" t="inlineStr">
        <is>
          <t>复核 税额=含税×税率/(1+税率)</t>
        </is>
      </c>
      <c r="C8" s="88" t="inlineStr">
        <is>
          <t>18行全部吻合(误差&lt;0.01)</t>
        </is>
      </c>
      <c r="D8" s="85" t="inlineStr">
        <is>
          <t>r5-r22</t>
        </is>
      </c>
      <c r="E8" s="85" t="inlineStr">
        <is>
          <t>正常</t>
        </is>
      </c>
    </row>
    <row r="9">
      <c r="A9" s="85" t="inlineStr">
        <is>
          <t>未税金额公式</t>
        </is>
      </c>
      <c r="B9" s="85" t="inlineStr">
        <is>
          <t>复核 未税=含税-税额</t>
        </is>
      </c>
      <c r="C9" s="88" t="inlineStr">
        <is>
          <t>18行全部吻合</t>
        </is>
      </c>
      <c r="D9" s="85" t="inlineStr">
        <is>
          <t>r5-r22</t>
        </is>
      </c>
      <c r="E9" s="85" t="inlineStr">
        <is>
          <t>正常</t>
        </is>
      </c>
    </row>
    <row r="10">
      <c r="A10" s="85" t="inlineStr">
        <is>
          <t>异常检查列(Q列)</t>
        </is>
      </c>
      <c r="B10" s="85" t="inlineStr">
        <is>
          <t>扫描非"正常"项</t>
        </is>
      </c>
      <c r="C10" s="88" t="inlineStr">
        <is>
          <t>2条"缺发票"</t>
        </is>
      </c>
      <c r="D10" s="85" t="inlineStr">
        <is>
          <t>r15(运维费46000), r21(市场推广费18000)</t>
        </is>
      </c>
      <c r="E10" s="85" t="inlineStr">
        <is>
          <t>待财务复核：补齐发票</t>
        </is>
      </c>
    </row>
    <row r="11">
      <c r="A11" s="85" t="inlineStr">
        <is>
          <t>缺发票(支出未收票)</t>
        </is>
      </c>
      <c r="B11" s="85" t="inlineStr">
        <is>
          <t>支出且发票状态=未收票</t>
        </is>
      </c>
      <c r="C11" s="88" t="inlineStr">
        <is>
          <t>2条</t>
        </is>
      </c>
      <c r="D11" s="85" t="inlineStr">
        <is>
          <t>r15, r21</t>
        </is>
      </c>
      <c r="E11" s="85" t="inlineStr">
        <is>
          <t>待财务复核：催收发票</t>
        </is>
      </c>
    </row>
    <row r="12">
      <c r="A12" s="85" t="inlineStr">
        <is>
          <t>未付款支出</t>
        </is>
      </c>
      <c r="B12" s="85" t="inlineStr">
        <is>
          <t>支付状态=未付款</t>
        </is>
      </c>
      <c r="C12" s="88" t="inlineStr">
        <is>
          <t>3条</t>
        </is>
      </c>
      <c r="D12" s="85" t="inlineStr">
        <is>
          <t>r15(46000), r20(42000), r21(18000)</t>
        </is>
      </c>
      <c r="E12" s="85" t="inlineStr">
        <is>
          <t>r20已收票可排款；r15/r21待补发票</t>
        </is>
      </c>
    </row>
    <row r="13">
      <c r="A13" s="85" t="inlineStr">
        <is>
          <t>未开票收入</t>
        </is>
      </c>
      <c r="B13" s="85" t="inlineStr">
        <is>
          <t>收入且发票状态=未开票</t>
        </is>
      </c>
      <c r="C13" s="88" t="inlineStr">
        <is>
          <t>1条</t>
        </is>
      </c>
      <c r="D13" s="85" t="inlineStr">
        <is>
          <t>r22(项目服务收入220000)</t>
        </is>
      </c>
      <c r="E13" s="85" t="inlineStr">
        <is>
          <t>待财务复核：尽快开票确认收入</t>
        </is>
      </c>
    </row>
    <row r="14">
      <c r="A14" s="85" t="inlineStr">
        <is>
          <t>未收款收入</t>
        </is>
      </c>
      <c r="B14" s="85" t="inlineStr">
        <is>
          <t>支付状态=未收款</t>
        </is>
      </c>
      <c r="C14" s="88" t="inlineStr">
        <is>
          <t>1条</t>
        </is>
      </c>
      <c r="D14" s="85" t="inlineStr">
        <is>
          <t>r22(220000)</t>
        </is>
      </c>
      <c r="E14" s="85" t="inlineStr">
        <is>
          <t>待财务复核：开票后催收</t>
        </is>
      </c>
    </row>
    <row r="15">
      <c r="A15" s="85" t="inlineStr">
        <is>
          <t>应收应付—已逾期</t>
        </is>
      </c>
      <c r="B15" s="85" t="inlineStr">
        <is>
          <t>状态=已逾期</t>
        </is>
      </c>
      <c r="C15" s="88" t="inlineStr">
        <is>
          <t>2条</t>
        </is>
      </c>
      <c r="D15" s="85" t="inlineStr">
        <is>
          <t>AR-26001(220000,19天), AP-26003(46000,34天)</t>
        </is>
      </c>
      <c r="E15" s="85" t="inlineStr">
        <is>
          <t>优先催收/排款</t>
        </is>
      </c>
    </row>
    <row r="16">
      <c r="A16" s="85" t="inlineStr">
        <is>
          <t>应收应付—未结合计勾稽</t>
        </is>
      </c>
      <c r="B16" s="85" t="inlineStr">
        <is>
          <t>应收未结440000=220000+220000+0；应付未结106000=42000+18000+46000</t>
        </is>
      </c>
      <c r="C16" s="88" t="inlineStr">
        <is>
          <t>勾稽一致</t>
        </is>
      </c>
      <c r="D16" s="85" t="inlineStr">
        <is>
          <t>r4-r9</t>
        </is>
      </c>
      <c r="E16" s="85" t="inlineStr">
        <is>
          <t>正常</t>
        </is>
      </c>
    </row>
    <row r="17">
      <c r="A17" s="85" t="inlineStr">
        <is>
          <t>预算公式引用</t>
        </is>
      </c>
      <c r="B17" s="85" t="inlineStr">
        <is>
          <t>预算执行各月SUMIFS引用财务流水L列(含税)</t>
        </is>
      </c>
      <c r="C17" s="88" t="inlineStr">
        <is>
          <t>公式与口径一致</t>
        </is>
      </c>
      <c r="D17" s="85" t="inlineStr">
        <is>
          <t>预算执行!D5:O12</t>
        </is>
      </c>
      <c r="E17" s="85" t="inlineStr">
        <is>
          <t>正常</t>
        </is>
      </c>
    </row>
    <row r="18">
      <c r="A18" s="85" t="inlineStr">
        <is>
          <t>月度汇总公式</t>
        </is>
      </c>
      <c r="B18" s="85" t="inlineStr">
        <is>
          <t>收入/支出SUMIFS、净现金流=B-C、累计=E_prev+D</t>
        </is>
      </c>
      <c r="C18" s="88" t="inlineStr">
        <is>
          <t>公式正确</t>
        </is>
      </c>
      <c r="D18" s="85" t="inlineStr">
        <is>
          <t>月度汇总!B5:H17</t>
        </is>
      </c>
      <c r="E18" s="85" t="inlineStr">
        <is>
          <t>正常</t>
        </is>
      </c>
    </row>
    <row r="19">
      <c r="A19" s="85" t="inlineStr">
        <is>
          <t>月度预算口径</t>
        </is>
      </c>
      <c r="B19" s="85" t="inlineStr">
        <is>
          <t>月度预算=年度预算/12(均摊)</t>
        </is>
      </c>
      <c r="C19" s="88" t="inlineStr">
        <is>
          <t>与模板口径一致，但与业务季节性可能不符</t>
        </is>
      </c>
      <c r="D19" s="85" t="inlineStr">
        <is>
          <t>月度汇总!F列</t>
        </is>
      </c>
      <c r="E19" s="85" t="inlineStr">
        <is>
          <t>待财务复核：是否需按月细化预算</t>
        </is>
      </c>
    </row>
    <row r="20">
      <c r="A20" s="85" t="inlineStr">
        <is>
          <t>净现金流口径</t>
        </is>
      </c>
      <c r="B20" s="85" t="inlineStr">
        <is>
          <t>采用含税全额(权责发生制)</t>
        </is>
      </c>
      <c r="C20" s="88" t="inlineStr">
        <is>
          <t>与模板口径一致，含未收/未付款</t>
        </is>
      </c>
      <c r="D20" s="85" t="inlineStr">
        <is>
          <t>月度汇总!D列</t>
        </is>
      </c>
      <c r="E20" s="85" t="inlineStr">
        <is>
          <t>待财务复核：如需纯现金口径请单独编制现金流量表</t>
        </is>
      </c>
    </row>
    <row r="21">
      <c r="A21" s="85" t="inlineStr">
        <is>
          <t>管理看板公式</t>
        </is>
      </c>
      <c r="B21" s="85" t="inlineStr">
        <is>
          <t>本月KPI SUMIFS引用2026-07</t>
        </is>
      </c>
      <c r="C21" s="88" t="inlineStr">
        <is>
          <t>口径一致</t>
        </is>
      </c>
      <c r="D21" s="85" t="inlineStr">
        <is>
          <t>管理看板!A6:J6</t>
        </is>
      </c>
      <c r="E21" s="85" t="inlineStr">
        <is>
          <t>正常</t>
        </is>
      </c>
    </row>
    <row r="22">
      <c r="A22" s="85" t="inlineStr">
        <is>
          <t>金额单位与小数位</t>
        </is>
      </c>
      <c r="B22" s="85" t="inlineStr">
        <is>
          <t>全部金额保留两位小数</t>
        </is>
      </c>
      <c r="C22" s="88" t="inlineStr">
        <is>
          <t>已统一</t>
        </is>
      </c>
      <c r="D22" s="85" t="inlineStr">
        <is>
          <t>全表</t>
        </is>
      </c>
      <c r="E22" s="85" t="inlineStr">
        <is>
          <t>正常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91" t="inlineStr">
        <is>
          <t>2026年7月 费用结构与经营情况图表分析</t>
        </is>
      </c>
    </row>
    <row r="2" ht="26" customHeight="1">
      <c r="A2" s="92" t="inlineStr">
        <is>
          <t>说明：图片由 Python(matplotlib) 按财务流水原始数据生成，数据口径与"公式溯源"表一致；金额单位元，保留两位小数。</t>
        </is>
      </c>
    </row>
    <row r="3">
      <c r="A3" s="93" t="inlineStr">
        <is>
          <t>图1 7月支出费用结构(饼图)</t>
        </is>
      </c>
      <c r="E3" s="93" t="inlineStr">
        <is>
          <t>图2 7月收支与净现金流</t>
        </is>
      </c>
    </row>
    <row r="27">
      <c r="A27" s="93" t="inlineStr">
        <is>
          <t>图3 7月收入结构</t>
        </is>
      </c>
      <c r="E27" s="93" t="inlineStr">
        <is>
          <t>图4 7月预算 vs 实际</t>
        </is>
      </c>
    </row>
    <row r="51">
      <c r="A51" s="93" t="inlineStr">
        <is>
          <t>图5 1-7月各费用类别累计预算执行率 vs 时间进度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2026-07-18T16:39:37Z</dcterms:created>
  <dcterms:modified xmlns:dcterms="http://purl.org/dc/terms/" xmlns:xsi="http://www.w3.org/2001/XMLSchema-instance" xsi:type="dcterms:W3CDTF">2026-07-18T16:43:47Z</dcterms:modified>
  <cp:lastModifiedBy>浩田 季</cp:lastModifiedBy>
</cp:coreProperties>
</file>